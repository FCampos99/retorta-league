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97db92364244256/Ambiente de Trabalho/Retorta League/"/>
    </mc:Choice>
  </mc:AlternateContent>
  <xr:revisionPtr revIDLastSave="965" documentId="13_ncr:1_{1C7D2132-DD6A-4ABC-B3C4-6115D2154999}" xr6:coauthVersionLast="47" xr6:coauthVersionMax="47" xr10:uidLastSave="{B71A64CA-B447-4150-A4DC-AB90E760BE2E}"/>
  <bookViews>
    <workbookView xWindow="-110" yWindow="-110" windowWidth="19420" windowHeight="10300" firstSheet="1" activeTab="5" xr2:uid="{CD0E53D0-EC51-4C02-9460-547110EB7AD7}"/>
  </bookViews>
  <sheets>
    <sheet name="UCL SS" sheetId="2" r:id="rId1"/>
    <sheet name="UCL WS" sheetId="3" r:id="rId2"/>
    <sheet name="UCL SS 2ed" sheetId="6" r:id="rId3"/>
    <sheet name="UCL WS 2ed" sheetId="8" r:id="rId4"/>
    <sheet name="UCL SS 3ed" sheetId="10" r:id="rId5"/>
    <sheet name="All-Time" sheetId="4" r:id="rId6"/>
    <sheet name="Calendário" sheetId="9" r:id="rId7"/>
  </sheets>
  <definedNames>
    <definedName name="_xlnm._FilterDatabase" localSheetId="5" hidden="1">'All-Time'!$B$4:$AC$4</definedName>
    <definedName name="_xlnm._FilterDatabase" localSheetId="6" hidden="1">Calendário!$L$24:$Q$24</definedName>
    <definedName name="_xlnm._FilterDatabase" localSheetId="0" hidden="1">'UCL SS'!$A$2:$AD$2</definedName>
    <definedName name="_xlnm._FilterDatabase" localSheetId="2" hidden="1">'UCL SS 2ed'!$A$2:$AD$2</definedName>
    <definedName name="_xlnm._FilterDatabase" localSheetId="4" hidden="1">'UCL SS 3ed'!$A$2:$AD$2</definedName>
    <definedName name="_xlnm._FilterDatabase" localSheetId="1" hidden="1">'UCL WS'!$A$2:$J$37</definedName>
    <definedName name="_xlnm._FilterDatabase" localSheetId="3" hidden="1">'UCL WS 2ed'!$A$2:$AD$2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" i="4" l="1"/>
  <c r="F81" i="4"/>
  <c r="H81" i="4" s="1"/>
  <c r="G81" i="4"/>
  <c r="I81" i="4"/>
  <c r="J81" i="4"/>
  <c r="K81" i="4"/>
  <c r="L81" i="4"/>
  <c r="M81" i="4"/>
  <c r="N81" i="4"/>
  <c r="O81" i="4"/>
  <c r="P81" i="4"/>
  <c r="Q81" i="4"/>
  <c r="T81" i="4" s="1"/>
  <c r="R81" i="4"/>
  <c r="S81" i="4"/>
  <c r="AC45" i="10"/>
  <c r="D23" i="10"/>
  <c r="U21" i="4" s="1"/>
  <c r="E23" i="10"/>
  <c r="F23" i="10"/>
  <c r="D16" i="10"/>
  <c r="E16" i="10"/>
  <c r="V81" i="4" s="1"/>
  <c r="Z81" i="4" s="1"/>
  <c r="F16" i="10"/>
  <c r="W81" i="4" s="1"/>
  <c r="AA81" i="4" s="1"/>
  <c r="D22" i="10"/>
  <c r="E22" i="10"/>
  <c r="F22" i="10"/>
  <c r="D13" i="10"/>
  <c r="U25" i="4" s="1"/>
  <c r="E13" i="10"/>
  <c r="G13" i="10" s="1"/>
  <c r="F13" i="10"/>
  <c r="P25" i="9"/>
  <c r="I82" i="4"/>
  <c r="J82" i="4"/>
  <c r="L82" i="4" s="1"/>
  <c r="K82" i="4"/>
  <c r="M82" i="4"/>
  <c r="N82" i="4"/>
  <c r="O82" i="4"/>
  <c r="Q82" i="4"/>
  <c r="R82" i="4"/>
  <c r="T82" i="4" s="1"/>
  <c r="S82" i="4"/>
  <c r="E82" i="4"/>
  <c r="F82" i="4"/>
  <c r="G82" i="4"/>
  <c r="D21" i="10"/>
  <c r="AC40" i="10" s="1"/>
  <c r="E21" i="10"/>
  <c r="F21" i="10"/>
  <c r="W82" i="4" s="1"/>
  <c r="P26" i="9"/>
  <c r="P28" i="9"/>
  <c r="P30" i="9"/>
  <c r="P29" i="9"/>
  <c r="D3" i="10"/>
  <c r="E3" i="10"/>
  <c r="F3" i="10"/>
  <c r="W7" i="4" s="1"/>
  <c r="Q26" i="9"/>
  <c r="Q28" i="9"/>
  <c r="Q30" i="9"/>
  <c r="Q29" i="9"/>
  <c r="Q27" i="9"/>
  <c r="P27" i="9"/>
  <c r="D8" i="10"/>
  <c r="U12" i="4" s="1"/>
  <c r="E8" i="10"/>
  <c r="V12" i="4" s="1"/>
  <c r="F8" i="10"/>
  <c r="W12" i="4" s="1"/>
  <c r="D15" i="10"/>
  <c r="AC41" i="10" s="1"/>
  <c r="E15" i="10"/>
  <c r="V35" i="4" s="1"/>
  <c r="F15" i="10"/>
  <c r="W35" i="4" s="1"/>
  <c r="D19" i="10"/>
  <c r="AC36" i="10" s="1"/>
  <c r="E19" i="10"/>
  <c r="F19" i="10"/>
  <c r="W31" i="4" s="1"/>
  <c r="E80" i="4"/>
  <c r="F80" i="4"/>
  <c r="G80" i="4"/>
  <c r="I80" i="4"/>
  <c r="J80" i="4"/>
  <c r="K80" i="4"/>
  <c r="M80" i="4"/>
  <c r="N80" i="4"/>
  <c r="O80" i="4"/>
  <c r="Q80" i="4"/>
  <c r="R80" i="4"/>
  <c r="S80" i="4"/>
  <c r="D20" i="10"/>
  <c r="AC42" i="10" s="1"/>
  <c r="E20" i="10"/>
  <c r="V80" i="4" s="1"/>
  <c r="F20" i="10"/>
  <c r="W80" i="4" s="1"/>
  <c r="D6" i="10"/>
  <c r="E6" i="10"/>
  <c r="F6" i="10"/>
  <c r="W15" i="4" s="1"/>
  <c r="D14" i="10"/>
  <c r="E14" i="10"/>
  <c r="V10" i="4" s="1"/>
  <c r="F14" i="10"/>
  <c r="W10" i="4" s="1"/>
  <c r="W16" i="4"/>
  <c r="W17" i="4"/>
  <c r="W18" i="4"/>
  <c r="W19" i="4"/>
  <c r="W21" i="4"/>
  <c r="W22" i="4"/>
  <c r="W23" i="4"/>
  <c r="W26" i="4"/>
  <c r="W27" i="4"/>
  <c r="W25" i="4"/>
  <c r="W29" i="4"/>
  <c r="W30" i="4"/>
  <c r="W32" i="4"/>
  <c r="W33" i="4"/>
  <c r="W34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3" i="4"/>
  <c r="V16" i="4"/>
  <c r="V17" i="4"/>
  <c r="V18" i="4"/>
  <c r="V19" i="4"/>
  <c r="V21" i="4"/>
  <c r="V22" i="4"/>
  <c r="V23" i="4"/>
  <c r="V26" i="4"/>
  <c r="V27" i="4"/>
  <c r="V25" i="4"/>
  <c r="V29" i="4"/>
  <c r="V30" i="4"/>
  <c r="V32" i="4"/>
  <c r="V33" i="4"/>
  <c r="V34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3" i="4"/>
  <c r="U16" i="4"/>
  <c r="U17" i="4"/>
  <c r="U18" i="4"/>
  <c r="U19" i="4"/>
  <c r="U22" i="4"/>
  <c r="U26" i="4"/>
  <c r="U27" i="4"/>
  <c r="U29" i="4"/>
  <c r="U30" i="4"/>
  <c r="U32" i="4"/>
  <c r="U33" i="4"/>
  <c r="U34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3" i="4"/>
  <c r="M2" i="10"/>
  <c r="N2" i="10" s="1"/>
  <c r="O2" i="10" s="1"/>
  <c r="P2" i="10" s="1"/>
  <c r="Q2" i="10" s="1"/>
  <c r="R2" i="10" s="1"/>
  <c r="S2" i="10" s="1"/>
  <c r="T2" i="10" s="1"/>
  <c r="U2" i="10" s="1"/>
  <c r="V2" i="10" s="1"/>
  <c r="W2" i="10" s="1"/>
  <c r="X2" i="10" s="1"/>
  <c r="Y2" i="10" s="1"/>
  <c r="Z2" i="10" s="1"/>
  <c r="AA2" i="10" s="1"/>
  <c r="AB2" i="10" s="1"/>
  <c r="AC2" i="10" s="1"/>
  <c r="AD2" i="10" s="1"/>
  <c r="F24" i="10"/>
  <c r="W28" i="4" s="1"/>
  <c r="E24" i="10"/>
  <c r="V28" i="4" s="1"/>
  <c r="D24" i="10"/>
  <c r="U28" i="4" s="1"/>
  <c r="F7" i="10"/>
  <c r="W20" i="4" s="1"/>
  <c r="E7" i="10"/>
  <c r="V20" i="4" s="1"/>
  <c r="D7" i="10"/>
  <c r="U20" i="4" s="1"/>
  <c r="F4" i="10"/>
  <c r="W13" i="4" s="1"/>
  <c r="E4" i="10"/>
  <c r="V13" i="4" s="1"/>
  <c r="D4" i="10"/>
  <c r="U13" i="4" s="1"/>
  <c r="F12" i="10"/>
  <c r="W9" i="4" s="1"/>
  <c r="E12" i="10"/>
  <c r="V9" i="4" s="1"/>
  <c r="D12" i="10"/>
  <c r="U9" i="4" s="1"/>
  <c r="F18" i="10"/>
  <c r="W14" i="4" s="1"/>
  <c r="E18" i="10"/>
  <c r="V14" i="4" s="1"/>
  <c r="D18" i="10"/>
  <c r="F17" i="10"/>
  <c r="W24" i="4" s="1"/>
  <c r="E17" i="10"/>
  <c r="V24" i="4" s="1"/>
  <c r="D17" i="10"/>
  <c r="U24" i="4" s="1"/>
  <c r="F11" i="10"/>
  <c r="W8" i="4" s="1"/>
  <c r="E11" i="10"/>
  <c r="V8" i="4" s="1"/>
  <c r="D11" i="10"/>
  <c r="F10" i="10"/>
  <c r="W11" i="4" s="1"/>
  <c r="E10" i="10"/>
  <c r="V11" i="4" s="1"/>
  <c r="D10" i="10"/>
  <c r="F5" i="10"/>
  <c r="W5" i="4" s="1"/>
  <c r="E5" i="10"/>
  <c r="V5" i="4" s="1"/>
  <c r="D5" i="10"/>
  <c r="F9" i="10"/>
  <c r="W6" i="4" s="1"/>
  <c r="E9" i="10"/>
  <c r="V6" i="4" s="1"/>
  <c r="D9" i="10"/>
  <c r="U6" i="4" s="1"/>
  <c r="D4" i="9"/>
  <c r="G4" i="9" s="1"/>
  <c r="J4" i="9" s="1"/>
  <c r="M4" i="9" s="1"/>
  <c r="P4" i="9" s="1"/>
  <c r="A9" i="9" s="1"/>
  <c r="D9" i="9" s="1"/>
  <c r="G9" i="9" s="1"/>
  <c r="J9" i="9" s="1"/>
  <c r="M9" i="9" s="1"/>
  <c r="A14" i="9" s="1"/>
  <c r="D14" i="9" s="1"/>
  <c r="G14" i="9" s="1"/>
  <c r="J14" i="9" s="1"/>
  <c r="M14" i="9" s="1"/>
  <c r="A19" i="9" s="1"/>
  <c r="D19" i="9" s="1"/>
  <c r="G19" i="9" s="1"/>
  <c r="J19" i="9" s="1"/>
  <c r="M19" i="9" s="1"/>
  <c r="P19" i="9" s="1"/>
  <c r="AC58" i="8"/>
  <c r="Z60" i="8"/>
  <c r="N54" i="8"/>
  <c r="I54" i="8"/>
  <c r="K54" i="8"/>
  <c r="J54" i="8"/>
  <c r="D23" i="8"/>
  <c r="E23" i="8"/>
  <c r="G23" i="8" s="1"/>
  <c r="F23" i="8"/>
  <c r="D35" i="8"/>
  <c r="AC69" i="8" s="1"/>
  <c r="E35" i="8"/>
  <c r="R51" i="4" s="1"/>
  <c r="F35" i="8"/>
  <c r="S51" i="4" s="1"/>
  <c r="D33" i="8"/>
  <c r="Q50" i="4" s="1"/>
  <c r="E33" i="8"/>
  <c r="F33" i="8"/>
  <c r="S50" i="4" s="1"/>
  <c r="G54" i="8"/>
  <c r="E77" i="4"/>
  <c r="F77" i="4"/>
  <c r="G77" i="4"/>
  <c r="I77" i="4"/>
  <c r="J77" i="4"/>
  <c r="K77" i="4"/>
  <c r="M77" i="4"/>
  <c r="N77" i="4"/>
  <c r="O77" i="4"/>
  <c r="D31" i="8"/>
  <c r="Q77" i="4" s="1"/>
  <c r="E31" i="8"/>
  <c r="F31" i="8"/>
  <c r="S77" i="4" s="1"/>
  <c r="M54" i="8"/>
  <c r="H54" i="8"/>
  <c r="X2" i="8"/>
  <c r="E34" i="8"/>
  <c r="D34" i="8"/>
  <c r="Q17" i="4" s="1"/>
  <c r="E38" i="4"/>
  <c r="F38" i="4"/>
  <c r="G38" i="4"/>
  <c r="I38" i="4"/>
  <c r="J38" i="4"/>
  <c r="K38" i="4"/>
  <c r="M38" i="4"/>
  <c r="N38" i="4"/>
  <c r="O38" i="4"/>
  <c r="D36" i="8"/>
  <c r="E36" i="8"/>
  <c r="F36" i="8"/>
  <c r="S34" i="4" s="1"/>
  <c r="D28" i="8"/>
  <c r="Q38" i="4" s="1"/>
  <c r="E28" i="8"/>
  <c r="R38" i="4" s="1"/>
  <c r="F28" i="8"/>
  <c r="S38" i="4" s="1"/>
  <c r="O31" i="4"/>
  <c r="N31" i="4"/>
  <c r="M31" i="4"/>
  <c r="K31" i="4"/>
  <c r="J31" i="4"/>
  <c r="I31" i="4"/>
  <c r="G31" i="4"/>
  <c r="F31" i="4"/>
  <c r="E31" i="4"/>
  <c r="F14" i="8"/>
  <c r="S31" i="4" s="1"/>
  <c r="E14" i="8"/>
  <c r="R31" i="4" s="1"/>
  <c r="D14" i="8"/>
  <c r="Q31" i="4" s="1"/>
  <c r="F5" i="8"/>
  <c r="S15" i="4" s="1"/>
  <c r="E5" i="8"/>
  <c r="D5" i="8"/>
  <c r="Q15" i="4" s="1"/>
  <c r="F15" i="8"/>
  <c r="S18" i="4" s="1"/>
  <c r="E15" i="8"/>
  <c r="R18" i="4" s="1"/>
  <c r="D15" i="8"/>
  <c r="F26" i="8"/>
  <c r="S35" i="4" s="1"/>
  <c r="E26" i="8"/>
  <c r="R35" i="4" s="1"/>
  <c r="D26" i="8"/>
  <c r="Q35" i="4" s="1"/>
  <c r="F22" i="8"/>
  <c r="S16" i="4" s="1"/>
  <c r="E22" i="8"/>
  <c r="R16" i="4" s="1"/>
  <c r="D22" i="8"/>
  <c r="Q16" i="4" s="1"/>
  <c r="L54" i="8"/>
  <c r="F25" i="8"/>
  <c r="S45" i="4" s="1"/>
  <c r="E25" i="8"/>
  <c r="R45" i="4" s="1"/>
  <c r="D25" i="8"/>
  <c r="Q45" i="4" s="1"/>
  <c r="F30" i="8"/>
  <c r="S30" i="4" s="1"/>
  <c r="E30" i="8"/>
  <c r="R30" i="4" s="1"/>
  <c r="D30" i="8"/>
  <c r="Q30" i="4" s="1"/>
  <c r="F11" i="8"/>
  <c r="S28" i="4" s="1"/>
  <c r="E11" i="8"/>
  <c r="D11" i="8"/>
  <c r="O83" i="4"/>
  <c r="N83" i="4"/>
  <c r="M83" i="4"/>
  <c r="K83" i="4"/>
  <c r="J83" i="4"/>
  <c r="I83" i="4"/>
  <c r="G83" i="4"/>
  <c r="F83" i="4"/>
  <c r="E83" i="4"/>
  <c r="O79" i="4"/>
  <c r="N79" i="4"/>
  <c r="M79" i="4"/>
  <c r="K79" i="4"/>
  <c r="J79" i="4"/>
  <c r="I79" i="4"/>
  <c r="G79" i="4"/>
  <c r="F79" i="4"/>
  <c r="E79" i="4"/>
  <c r="O33" i="4"/>
  <c r="N33" i="4"/>
  <c r="M33" i="4"/>
  <c r="K33" i="4"/>
  <c r="J33" i="4"/>
  <c r="I33" i="4"/>
  <c r="G33" i="4"/>
  <c r="F33" i="4"/>
  <c r="E33" i="4"/>
  <c r="S76" i="4"/>
  <c r="S75" i="4"/>
  <c r="S74" i="4"/>
  <c r="S73" i="4"/>
  <c r="S72" i="4"/>
  <c r="S71" i="4"/>
  <c r="S70" i="4"/>
  <c r="S69" i="4"/>
  <c r="S68" i="4"/>
  <c r="S67" i="4"/>
  <c r="S66" i="4"/>
  <c r="S65" i="4"/>
  <c r="S64" i="4"/>
  <c r="S63" i="4"/>
  <c r="S62" i="4"/>
  <c r="S61" i="4"/>
  <c r="S60" i="4"/>
  <c r="S59" i="4"/>
  <c r="S58" i="4"/>
  <c r="S57" i="4"/>
  <c r="S56" i="4"/>
  <c r="S55" i="4"/>
  <c r="S54" i="4"/>
  <c r="S53" i="4"/>
  <c r="S52" i="4"/>
  <c r="S48" i="4"/>
  <c r="S47" i="4"/>
  <c r="S46" i="4"/>
  <c r="S44" i="4"/>
  <c r="S43" i="4"/>
  <c r="S42" i="4"/>
  <c r="S41" i="4"/>
  <c r="S40" i="4"/>
  <c r="S39" i="4"/>
  <c r="S36" i="4"/>
  <c r="S32" i="4"/>
  <c r="S25" i="4"/>
  <c r="S27" i="4"/>
  <c r="S26" i="4"/>
  <c r="S23" i="4"/>
  <c r="S20" i="4"/>
  <c r="S19" i="4"/>
  <c r="R76" i="4"/>
  <c r="R75" i="4"/>
  <c r="R74" i="4"/>
  <c r="R73" i="4"/>
  <c r="R72" i="4"/>
  <c r="R71" i="4"/>
  <c r="R70" i="4"/>
  <c r="R69" i="4"/>
  <c r="R68" i="4"/>
  <c r="R67" i="4"/>
  <c r="R66" i="4"/>
  <c r="R65" i="4"/>
  <c r="R64" i="4"/>
  <c r="R63" i="4"/>
  <c r="R62" i="4"/>
  <c r="R61" i="4"/>
  <c r="R60" i="4"/>
  <c r="R59" i="4"/>
  <c r="R58" i="4"/>
  <c r="R57" i="4"/>
  <c r="R56" i="4"/>
  <c r="R55" i="4"/>
  <c r="R54" i="4"/>
  <c r="R53" i="4"/>
  <c r="R52" i="4"/>
  <c r="R48" i="4"/>
  <c r="R47" i="4"/>
  <c r="R46" i="4"/>
  <c r="R44" i="4"/>
  <c r="R43" i="4"/>
  <c r="R42" i="4"/>
  <c r="R41" i="4"/>
  <c r="R40" i="4"/>
  <c r="R39" i="4"/>
  <c r="R36" i="4"/>
  <c r="R32" i="4"/>
  <c r="R25" i="4"/>
  <c r="R27" i="4"/>
  <c r="R26" i="4"/>
  <c r="R23" i="4"/>
  <c r="R20" i="4"/>
  <c r="Q76" i="4"/>
  <c r="Q75" i="4"/>
  <c r="Q74" i="4"/>
  <c r="Q73" i="4"/>
  <c r="Q72" i="4"/>
  <c r="Q71" i="4"/>
  <c r="Q70" i="4"/>
  <c r="Q69" i="4"/>
  <c r="Q68" i="4"/>
  <c r="Q67" i="4"/>
  <c r="Q66" i="4"/>
  <c r="Q65" i="4"/>
  <c r="Q64" i="4"/>
  <c r="Q63" i="4"/>
  <c r="Q62" i="4"/>
  <c r="Q61" i="4"/>
  <c r="Q60" i="4"/>
  <c r="Q59" i="4"/>
  <c r="Q58" i="4"/>
  <c r="Q57" i="4"/>
  <c r="Q56" i="4"/>
  <c r="Q55" i="4"/>
  <c r="Q54" i="4"/>
  <c r="Q53" i="4"/>
  <c r="Q52" i="4"/>
  <c r="Q48" i="4"/>
  <c r="Q47" i="4"/>
  <c r="Q46" i="4"/>
  <c r="Q44" i="4"/>
  <c r="Q43" i="4"/>
  <c r="Q42" i="4"/>
  <c r="Q41" i="4"/>
  <c r="Q40" i="4"/>
  <c r="Q39" i="4"/>
  <c r="Q36" i="4"/>
  <c r="Q32" i="4"/>
  <c r="Q25" i="4"/>
  <c r="Q27" i="4"/>
  <c r="Q26" i="4"/>
  <c r="Q23" i="4"/>
  <c r="Q20" i="4"/>
  <c r="Q19" i="4"/>
  <c r="F21" i="8"/>
  <c r="S83" i="4" s="1"/>
  <c r="E21" i="8"/>
  <c r="R83" i="4" s="1"/>
  <c r="D21" i="8"/>
  <c r="Q83" i="4" s="1"/>
  <c r="F20" i="8"/>
  <c r="S79" i="4" s="1"/>
  <c r="E20" i="8"/>
  <c r="R79" i="4" s="1"/>
  <c r="D20" i="8"/>
  <c r="Q79" i="4" s="1"/>
  <c r="F9" i="8"/>
  <c r="S33" i="4" s="1"/>
  <c r="E9" i="8"/>
  <c r="R33" i="4" s="1"/>
  <c r="D9" i="8"/>
  <c r="F19" i="8"/>
  <c r="S37" i="4" s="1"/>
  <c r="E19" i="8"/>
  <c r="D19" i="8"/>
  <c r="Q37" i="4" s="1"/>
  <c r="F34" i="8"/>
  <c r="S17" i="4" s="1"/>
  <c r="F27" i="8"/>
  <c r="S22" i="4" s="1"/>
  <c r="E27" i="8"/>
  <c r="D27" i="8"/>
  <c r="F16" i="8"/>
  <c r="S14" i="4" s="1"/>
  <c r="E16" i="8"/>
  <c r="R14" i="4" s="1"/>
  <c r="D16" i="8"/>
  <c r="F17" i="8"/>
  <c r="S13" i="4" s="1"/>
  <c r="E17" i="8"/>
  <c r="R13" i="4" s="1"/>
  <c r="D17" i="8"/>
  <c r="Q13" i="4" s="1"/>
  <c r="F13" i="8"/>
  <c r="S12" i="4" s="1"/>
  <c r="E13" i="8"/>
  <c r="R12" i="4" s="1"/>
  <c r="D13" i="8"/>
  <c r="Q12" i="4" s="1"/>
  <c r="F7" i="8"/>
  <c r="S9" i="4" s="1"/>
  <c r="E7" i="8"/>
  <c r="R9" i="4" s="1"/>
  <c r="D7" i="8"/>
  <c r="Q9" i="4" s="1"/>
  <c r="F10" i="8"/>
  <c r="S11" i="4" s="1"/>
  <c r="E10" i="8"/>
  <c r="R11" i="4" s="1"/>
  <c r="D10" i="8"/>
  <c r="Q11" i="4" s="1"/>
  <c r="O78" i="4"/>
  <c r="N78" i="4"/>
  <c r="M78" i="4"/>
  <c r="K78" i="4"/>
  <c r="J78" i="4"/>
  <c r="I78" i="4"/>
  <c r="G78" i="4"/>
  <c r="F78" i="4"/>
  <c r="E78" i="4"/>
  <c r="I31" i="2"/>
  <c r="I30" i="2"/>
  <c r="I29" i="2"/>
  <c r="I28" i="2"/>
  <c r="I27" i="2"/>
  <c r="I26" i="2"/>
  <c r="I25" i="2"/>
  <c r="I24" i="2"/>
  <c r="I23" i="2"/>
  <c r="I22" i="2"/>
  <c r="I15" i="2"/>
  <c r="I21" i="2"/>
  <c r="I17" i="2"/>
  <c r="I16" i="2"/>
  <c r="I20" i="2"/>
  <c r="I19" i="2"/>
  <c r="I18" i="2"/>
  <c r="I8" i="2"/>
  <c r="I12" i="2"/>
  <c r="I9" i="2"/>
  <c r="I7" i="2"/>
  <c r="I14" i="2"/>
  <c r="I13" i="2"/>
  <c r="I11" i="2"/>
  <c r="I5" i="2"/>
  <c r="I4" i="2"/>
  <c r="I6" i="2"/>
  <c r="I10" i="2"/>
  <c r="I3" i="2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43" i="6"/>
  <c r="I27" i="6"/>
  <c r="I19" i="6"/>
  <c r="I13" i="6"/>
  <c r="I12" i="6"/>
  <c r="I11" i="6"/>
  <c r="I5" i="6"/>
  <c r="I4" i="6"/>
  <c r="I3" i="6"/>
  <c r="S42" i="8"/>
  <c r="S43" i="8" s="1"/>
  <c r="S44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N50" i="8"/>
  <c r="M50" i="8"/>
  <c r="L50" i="8"/>
  <c r="J50" i="8"/>
  <c r="I50" i="8"/>
  <c r="H50" i="8"/>
  <c r="G50" i="8"/>
  <c r="K50" i="8"/>
  <c r="G41" i="8" a="1"/>
  <c r="G41" i="8" s="1"/>
  <c r="M2" i="8"/>
  <c r="N2" i="8" s="1"/>
  <c r="O2" i="8" s="1"/>
  <c r="P2" i="8" s="1"/>
  <c r="Q2" i="8" s="1"/>
  <c r="S2" i="8" s="1"/>
  <c r="T2" i="8" s="1"/>
  <c r="U2" i="8" s="1"/>
  <c r="Y2" i="8" s="1"/>
  <c r="Z2" i="8" s="1"/>
  <c r="F24" i="8"/>
  <c r="S29" i="4" s="1"/>
  <c r="E24" i="8"/>
  <c r="R29" i="4" s="1"/>
  <c r="D24" i="8"/>
  <c r="Q29" i="4" s="1"/>
  <c r="F32" i="8"/>
  <c r="S49" i="4" s="1"/>
  <c r="E32" i="8"/>
  <c r="R49" i="4" s="1"/>
  <c r="D32" i="8"/>
  <c r="Q49" i="4" s="1"/>
  <c r="F8" i="8"/>
  <c r="S10" i="4" s="1"/>
  <c r="E8" i="8"/>
  <c r="R10" i="4" s="1"/>
  <c r="D8" i="8"/>
  <c r="F37" i="8"/>
  <c r="S21" i="4" s="1"/>
  <c r="E37" i="8"/>
  <c r="R21" i="4" s="1"/>
  <c r="D37" i="8"/>
  <c r="Q21" i="4" s="1"/>
  <c r="F29" i="8"/>
  <c r="S24" i="4" s="1"/>
  <c r="E29" i="8"/>
  <c r="R24" i="4" s="1"/>
  <c r="D29" i="8"/>
  <c r="Q24" i="4" s="1"/>
  <c r="F6" i="8"/>
  <c r="S7" i="4" s="1"/>
  <c r="E6" i="8"/>
  <c r="R7" i="4" s="1"/>
  <c r="D6" i="8"/>
  <c r="F12" i="8"/>
  <c r="S8" i="4" s="1"/>
  <c r="E12" i="8"/>
  <c r="R8" i="4" s="1"/>
  <c r="D12" i="8"/>
  <c r="F18" i="8"/>
  <c r="S78" i="4" s="1"/>
  <c r="E18" i="8"/>
  <c r="R78" i="4" s="1"/>
  <c r="D18" i="8"/>
  <c r="Q78" i="4" s="1"/>
  <c r="F4" i="8"/>
  <c r="S5" i="4" s="1"/>
  <c r="E4" i="8"/>
  <c r="R5" i="4" s="1"/>
  <c r="D4" i="8"/>
  <c r="Q5" i="4" s="1"/>
  <c r="F3" i="8"/>
  <c r="S6" i="4" s="1"/>
  <c r="E3" i="8"/>
  <c r="R6" i="4" s="1"/>
  <c r="D3" i="8"/>
  <c r="Q6" i="4" s="1"/>
  <c r="M75" i="4"/>
  <c r="K75" i="4"/>
  <c r="J75" i="4"/>
  <c r="I75" i="4"/>
  <c r="G75" i="4"/>
  <c r="F75" i="4"/>
  <c r="E75" i="4"/>
  <c r="AC98" i="6"/>
  <c r="F36" i="6"/>
  <c r="O75" i="4" s="1"/>
  <c r="E36" i="6"/>
  <c r="N75" i="4" s="1"/>
  <c r="D36" i="6"/>
  <c r="K45" i="4"/>
  <c r="J45" i="4"/>
  <c r="I45" i="4"/>
  <c r="G45" i="4"/>
  <c r="F45" i="4"/>
  <c r="E45" i="4"/>
  <c r="K76" i="4"/>
  <c r="J76" i="4"/>
  <c r="I76" i="4"/>
  <c r="G76" i="4"/>
  <c r="F76" i="4"/>
  <c r="E76" i="4"/>
  <c r="AC97" i="6"/>
  <c r="F49" i="6"/>
  <c r="O45" i="4" s="1"/>
  <c r="E49" i="6"/>
  <c r="N45" i="4" s="1"/>
  <c r="D49" i="6"/>
  <c r="M45" i="4" s="1"/>
  <c r="F50" i="6"/>
  <c r="O76" i="4" s="1"/>
  <c r="E50" i="6"/>
  <c r="I50" i="6" s="1"/>
  <c r="D50" i="6"/>
  <c r="F37" i="6"/>
  <c r="O36" i="4" s="1"/>
  <c r="F48" i="6"/>
  <c r="O30" i="4" s="1"/>
  <c r="F47" i="6"/>
  <c r="O73" i="4" s="1"/>
  <c r="F23" i="6"/>
  <c r="O10" i="4" s="1"/>
  <c r="F46" i="6"/>
  <c r="O74" i="4" s="1"/>
  <c r="F45" i="6"/>
  <c r="O71" i="4" s="1"/>
  <c r="F44" i="6"/>
  <c r="F43" i="6"/>
  <c r="O69" i="4" s="1"/>
  <c r="F42" i="6"/>
  <c r="F41" i="6"/>
  <c r="O67" i="4" s="1"/>
  <c r="F40" i="6"/>
  <c r="O29" i="4" s="1"/>
  <c r="F39" i="6"/>
  <c r="O35" i="4" s="1"/>
  <c r="F38" i="6"/>
  <c r="F20" i="6"/>
  <c r="O48" i="4" s="1"/>
  <c r="F35" i="6"/>
  <c r="O44" i="4" s="1"/>
  <c r="F34" i="6"/>
  <c r="O28" i="4" s="1"/>
  <c r="F33" i="6"/>
  <c r="O72" i="4" s="1"/>
  <c r="F32" i="6"/>
  <c r="O47" i="4" s="1"/>
  <c r="F31" i="6"/>
  <c r="O43" i="4" s="1"/>
  <c r="F30" i="6"/>
  <c r="O17" i="4" s="1"/>
  <c r="F29" i="6"/>
  <c r="O70" i="4" s="1"/>
  <c r="F28" i="6"/>
  <c r="F21" i="6"/>
  <c r="O12" i="4" s="1"/>
  <c r="F27" i="6"/>
  <c r="O22" i="4" s="1"/>
  <c r="F22" i="6"/>
  <c r="F26" i="6"/>
  <c r="O16" i="4" s="1"/>
  <c r="F25" i="6"/>
  <c r="O42" i="4" s="1"/>
  <c r="F24" i="6"/>
  <c r="O66" i="4" s="1"/>
  <c r="F19" i="6"/>
  <c r="O25" i="4" s="1"/>
  <c r="F18" i="6"/>
  <c r="O34" i="4" s="1"/>
  <c r="F17" i="6"/>
  <c r="O13" i="4" s="1"/>
  <c r="F14" i="6"/>
  <c r="O15" i="4" s="1"/>
  <c r="F16" i="6"/>
  <c r="F15" i="6"/>
  <c r="O9" i="4" s="1"/>
  <c r="F9" i="6"/>
  <c r="O23" i="4" s="1"/>
  <c r="F13" i="6"/>
  <c r="O27" i="4" s="1"/>
  <c r="F12" i="6"/>
  <c r="O26" i="4" s="1"/>
  <c r="F11" i="6"/>
  <c r="O14" i="4" s="1"/>
  <c r="F6" i="6"/>
  <c r="O8" i="4" s="1"/>
  <c r="F8" i="6"/>
  <c r="O7" i="4" s="1"/>
  <c r="F10" i="6"/>
  <c r="O24" i="4" s="1"/>
  <c r="F7" i="6"/>
  <c r="F5" i="6"/>
  <c r="O11" i="4" s="1"/>
  <c r="F4" i="6"/>
  <c r="O5" i="4" s="1"/>
  <c r="F3" i="6"/>
  <c r="O6" i="4" s="1"/>
  <c r="E37" i="6"/>
  <c r="N36" i="4" s="1"/>
  <c r="E48" i="6"/>
  <c r="I48" i="6" s="1"/>
  <c r="E47" i="6"/>
  <c r="I47" i="6" s="1"/>
  <c r="E23" i="6"/>
  <c r="N10" i="4" s="1"/>
  <c r="E46" i="6"/>
  <c r="N74" i="4" s="1"/>
  <c r="E45" i="6"/>
  <c r="N71" i="4" s="1"/>
  <c r="E44" i="6"/>
  <c r="N37" i="4" s="1"/>
  <c r="E43" i="6"/>
  <c r="N69" i="4" s="1"/>
  <c r="E42" i="6"/>
  <c r="N18" i="4" s="1"/>
  <c r="E41" i="6"/>
  <c r="N67" i="4" s="1"/>
  <c r="E40" i="6"/>
  <c r="I40" i="6" s="1"/>
  <c r="E39" i="6"/>
  <c r="N35" i="4" s="1"/>
  <c r="E38" i="6"/>
  <c r="N49" i="4" s="1"/>
  <c r="E20" i="6"/>
  <c r="N48" i="4" s="1"/>
  <c r="E35" i="6"/>
  <c r="N44" i="4" s="1"/>
  <c r="E34" i="6"/>
  <c r="I34" i="6" s="1"/>
  <c r="E33" i="6"/>
  <c r="N72" i="4" s="1"/>
  <c r="E32" i="6"/>
  <c r="N47" i="4" s="1"/>
  <c r="E31" i="6"/>
  <c r="I31" i="6" s="1"/>
  <c r="E30" i="6"/>
  <c r="N17" i="4" s="1"/>
  <c r="E29" i="6"/>
  <c r="N70" i="4" s="1"/>
  <c r="E28" i="6"/>
  <c r="N68" i="4" s="1"/>
  <c r="E21" i="6"/>
  <c r="N12" i="4" s="1"/>
  <c r="E27" i="6"/>
  <c r="N22" i="4" s="1"/>
  <c r="E22" i="6"/>
  <c r="N20" i="4" s="1"/>
  <c r="E26" i="6"/>
  <c r="N16" i="4" s="1"/>
  <c r="E25" i="6"/>
  <c r="N42" i="4" s="1"/>
  <c r="E24" i="6"/>
  <c r="N66" i="4" s="1"/>
  <c r="E19" i="6"/>
  <c r="N25" i="4" s="1"/>
  <c r="E18" i="6"/>
  <c r="N34" i="4" s="1"/>
  <c r="E17" i="6"/>
  <c r="I17" i="6" s="1"/>
  <c r="E14" i="6"/>
  <c r="N15" i="4" s="1"/>
  <c r="E16" i="6"/>
  <c r="N21" i="4" s="1"/>
  <c r="E15" i="6"/>
  <c r="N9" i="4" s="1"/>
  <c r="E9" i="6"/>
  <c r="N23" i="4" s="1"/>
  <c r="E13" i="6"/>
  <c r="N27" i="4" s="1"/>
  <c r="E12" i="6"/>
  <c r="N26" i="4" s="1"/>
  <c r="E11" i="6"/>
  <c r="N14" i="4" s="1"/>
  <c r="E6" i="6"/>
  <c r="N8" i="4" s="1"/>
  <c r="E8" i="6"/>
  <c r="N7" i="4" s="1"/>
  <c r="E10" i="6"/>
  <c r="N24" i="4" s="1"/>
  <c r="E7" i="6"/>
  <c r="I7" i="6" s="1"/>
  <c r="E5" i="6"/>
  <c r="E4" i="6"/>
  <c r="N5" i="4" s="1"/>
  <c r="E3" i="6"/>
  <c r="D37" i="6"/>
  <c r="M36" i="4" s="1"/>
  <c r="D48" i="6"/>
  <c r="AC93" i="6" s="1"/>
  <c r="D47" i="6"/>
  <c r="M73" i="4" s="1"/>
  <c r="D23" i="6"/>
  <c r="AC68" i="6" s="1"/>
  <c r="D46" i="6"/>
  <c r="M74" i="4" s="1"/>
  <c r="D45" i="6"/>
  <c r="AC90" i="6" s="1"/>
  <c r="D44" i="6"/>
  <c r="M37" i="4" s="1"/>
  <c r="D43" i="6"/>
  <c r="AC84" i="6" s="1"/>
  <c r="D42" i="6"/>
  <c r="M18" i="4" s="1"/>
  <c r="D41" i="6"/>
  <c r="AC82" i="6" s="1"/>
  <c r="D40" i="6"/>
  <c r="M29" i="4" s="1"/>
  <c r="D39" i="6"/>
  <c r="M35" i="4" s="1"/>
  <c r="D38" i="6"/>
  <c r="M49" i="4" s="1"/>
  <c r="D20" i="6"/>
  <c r="M48" i="4" s="1"/>
  <c r="D35" i="6"/>
  <c r="AC76" i="6" s="1"/>
  <c r="D34" i="6"/>
  <c r="M28" i="4" s="1"/>
  <c r="D33" i="6"/>
  <c r="M72" i="4" s="1"/>
  <c r="D32" i="6"/>
  <c r="AC71" i="6" s="1"/>
  <c r="D31" i="6"/>
  <c r="M43" i="4" s="1"/>
  <c r="D30" i="6"/>
  <c r="M17" i="4" s="1"/>
  <c r="D29" i="6"/>
  <c r="D28" i="6"/>
  <c r="M68" i="4" s="1"/>
  <c r="D21" i="6"/>
  <c r="D27" i="6"/>
  <c r="M22" i="4" s="1"/>
  <c r="D22" i="6"/>
  <c r="M20" i="4" s="1"/>
  <c r="D26" i="6"/>
  <c r="AC73" i="6" s="1"/>
  <c r="D25" i="6"/>
  <c r="M42" i="4" s="1"/>
  <c r="D24" i="6"/>
  <c r="M66" i="4" s="1"/>
  <c r="D19" i="6"/>
  <c r="D18" i="6"/>
  <c r="D17" i="6"/>
  <c r="M13" i="4" s="1"/>
  <c r="D14" i="6"/>
  <c r="I14" i="6" s="1"/>
  <c r="D16" i="6"/>
  <c r="M21" i="4" s="1"/>
  <c r="D15" i="6"/>
  <c r="Z64" i="6" s="1"/>
  <c r="D9" i="6"/>
  <c r="M23" i="4" s="1"/>
  <c r="D13" i="6"/>
  <c r="M27" i="4" s="1"/>
  <c r="D12" i="6"/>
  <c r="D11" i="6"/>
  <c r="Z66" i="6" s="1"/>
  <c r="D6" i="6"/>
  <c r="D8" i="6"/>
  <c r="M7" i="4" s="1"/>
  <c r="D10" i="6"/>
  <c r="AC62" i="6" s="1"/>
  <c r="D7" i="6"/>
  <c r="M19" i="4" s="1"/>
  <c r="D5" i="6"/>
  <c r="M11" i="4" s="1"/>
  <c r="D4" i="6"/>
  <c r="Z62" i="6" s="1"/>
  <c r="D3" i="6"/>
  <c r="Z61" i="6" s="1"/>
  <c r="K48" i="4"/>
  <c r="J48" i="4"/>
  <c r="I48" i="4"/>
  <c r="G48" i="4"/>
  <c r="F48" i="4"/>
  <c r="E48" i="4"/>
  <c r="O65" i="4"/>
  <c r="O64" i="4"/>
  <c r="O63" i="4"/>
  <c r="O62" i="4"/>
  <c r="O61" i="4"/>
  <c r="O60" i="4"/>
  <c r="O59" i="4"/>
  <c r="O58" i="4"/>
  <c r="O57" i="4"/>
  <c r="O50" i="4"/>
  <c r="O56" i="4"/>
  <c r="O51" i="4"/>
  <c r="O55" i="4"/>
  <c r="O54" i="4"/>
  <c r="O53" i="4"/>
  <c r="O52" i="4"/>
  <c r="O37" i="4"/>
  <c r="O46" i="4"/>
  <c r="O41" i="4"/>
  <c r="O40" i="4"/>
  <c r="O39" i="4"/>
  <c r="O32" i="4"/>
  <c r="O20" i="4"/>
  <c r="O21" i="4"/>
  <c r="O18" i="4"/>
  <c r="O19" i="4"/>
  <c r="N65" i="4"/>
  <c r="N64" i="4"/>
  <c r="N63" i="4"/>
  <c r="N62" i="4"/>
  <c r="N61" i="4"/>
  <c r="N60" i="4"/>
  <c r="N59" i="4"/>
  <c r="N58" i="4"/>
  <c r="N57" i="4"/>
  <c r="N50" i="4"/>
  <c r="N56" i="4"/>
  <c r="N51" i="4"/>
  <c r="N55" i="4"/>
  <c r="N54" i="4"/>
  <c r="N53" i="4"/>
  <c r="N52" i="4"/>
  <c r="N46" i="4"/>
  <c r="N43" i="4"/>
  <c r="N41" i="4"/>
  <c r="N40" i="4"/>
  <c r="N39" i="4"/>
  <c r="N32" i="4"/>
  <c r="M65" i="4"/>
  <c r="M64" i="4"/>
  <c r="M63" i="4"/>
  <c r="M62" i="4"/>
  <c r="M61" i="4"/>
  <c r="M60" i="4"/>
  <c r="M59" i="4"/>
  <c r="M58" i="4"/>
  <c r="M57" i="4"/>
  <c r="M50" i="4"/>
  <c r="M56" i="4"/>
  <c r="M51" i="4"/>
  <c r="M55" i="4"/>
  <c r="M54" i="4"/>
  <c r="M53" i="4"/>
  <c r="M52" i="4"/>
  <c r="M46" i="4"/>
  <c r="M41" i="4"/>
  <c r="M40" i="4"/>
  <c r="M39" i="4"/>
  <c r="M32" i="4"/>
  <c r="M26" i="4"/>
  <c r="M16" i="4"/>
  <c r="K28" i="4"/>
  <c r="J28" i="4"/>
  <c r="I28" i="4"/>
  <c r="G28" i="4"/>
  <c r="F28" i="4"/>
  <c r="E28" i="4"/>
  <c r="K73" i="4"/>
  <c r="J73" i="4"/>
  <c r="I73" i="4"/>
  <c r="G73" i="4"/>
  <c r="F73" i="4"/>
  <c r="E73" i="4"/>
  <c r="K72" i="4"/>
  <c r="J72" i="4"/>
  <c r="I72" i="4"/>
  <c r="G72" i="4"/>
  <c r="F72" i="4"/>
  <c r="E72" i="4"/>
  <c r="AD2" i="6"/>
  <c r="G54" i="6" a="1"/>
  <c r="G54" i="6" s="1"/>
  <c r="K66" i="6"/>
  <c r="L66" i="6"/>
  <c r="M66" i="6"/>
  <c r="N66" i="6"/>
  <c r="O66" i="6"/>
  <c r="P66" i="6"/>
  <c r="Q66" i="6"/>
  <c r="F30" i="4"/>
  <c r="G30" i="4"/>
  <c r="I30" i="4"/>
  <c r="J30" i="4"/>
  <c r="K30" i="4"/>
  <c r="F71" i="4"/>
  <c r="G71" i="4"/>
  <c r="I71" i="4"/>
  <c r="J71" i="4"/>
  <c r="K71" i="4"/>
  <c r="F74" i="4"/>
  <c r="G74" i="4"/>
  <c r="I74" i="4"/>
  <c r="J74" i="4"/>
  <c r="K74" i="4"/>
  <c r="E30" i="4"/>
  <c r="E71" i="4"/>
  <c r="E74" i="4"/>
  <c r="F47" i="4"/>
  <c r="G47" i="4"/>
  <c r="I47" i="4"/>
  <c r="J47" i="4"/>
  <c r="K47" i="4"/>
  <c r="E47" i="4"/>
  <c r="K69" i="4"/>
  <c r="K37" i="4"/>
  <c r="K34" i="4"/>
  <c r="K70" i="4"/>
  <c r="J69" i="4"/>
  <c r="J37" i="4"/>
  <c r="J34" i="4"/>
  <c r="J70" i="4"/>
  <c r="I69" i="4"/>
  <c r="I37" i="4"/>
  <c r="I34" i="4"/>
  <c r="I70" i="4"/>
  <c r="G69" i="4"/>
  <c r="G37" i="4"/>
  <c r="G34" i="4"/>
  <c r="G70" i="4"/>
  <c r="F69" i="4"/>
  <c r="F37" i="4"/>
  <c r="F34" i="4"/>
  <c r="F70" i="4"/>
  <c r="E69" i="4"/>
  <c r="E37" i="4"/>
  <c r="E34" i="4"/>
  <c r="E70" i="4"/>
  <c r="I67" i="4"/>
  <c r="J67" i="4"/>
  <c r="K67" i="4"/>
  <c r="I68" i="4"/>
  <c r="J68" i="4"/>
  <c r="K68" i="4"/>
  <c r="G67" i="4"/>
  <c r="G68" i="4"/>
  <c r="F67" i="4"/>
  <c r="F68" i="4"/>
  <c r="E67" i="4"/>
  <c r="E68" i="4"/>
  <c r="I35" i="4"/>
  <c r="J35" i="4"/>
  <c r="K35" i="4"/>
  <c r="G35" i="4"/>
  <c r="F35" i="4"/>
  <c r="E35" i="4"/>
  <c r="G66" i="4"/>
  <c r="I66" i="4"/>
  <c r="J66" i="4"/>
  <c r="K66" i="4"/>
  <c r="F66" i="4"/>
  <c r="E66" i="4"/>
  <c r="K49" i="4"/>
  <c r="J49" i="4"/>
  <c r="I49" i="4"/>
  <c r="G49" i="4"/>
  <c r="F49" i="4"/>
  <c r="E49" i="4"/>
  <c r="G64" i="4"/>
  <c r="G27" i="4"/>
  <c r="G65" i="4"/>
  <c r="F64" i="4"/>
  <c r="F27" i="4"/>
  <c r="F65" i="4"/>
  <c r="E64" i="4"/>
  <c r="E27" i="4"/>
  <c r="E65" i="4"/>
  <c r="K8" i="4"/>
  <c r="K6" i="4"/>
  <c r="K7" i="4"/>
  <c r="K16" i="4"/>
  <c r="K17" i="4"/>
  <c r="K18" i="4"/>
  <c r="K10" i="4"/>
  <c r="K12" i="4"/>
  <c r="K13" i="4"/>
  <c r="K9" i="4"/>
  <c r="K22" i="4"/>
  <c r="K14" i="4"/>
  <c r="K20" i="4"/>
  <c r="K19" i="4"/>
  <c r="K21" i="4"/>
  <c r="K11" i="4"/>
  <c r="K23" i="4"/>
  <c r="K32" i="4"/>
  <c r="K29" i="4"/>
  <c r="K39" i="4"/>
  <c r="K25" i="4"/>
  <c r="K40" i="4"/>
  <c r="K41" i="4"/>
  <c r="K36" i="4"/>
  <c r="K26" i="4"/>
  <c r="K43" i="4"/>
  <c r="K53" i="4"/>
  <c r="K54" i="4"/>
  <c r="K55" i="4"/>
  <c r="K51" i="4"/>
  <c r="K15" i="4"/>
  <c r="K42" i="4"/>
  <c r="K56" i="4"/>
  <c r="K50" i="4"/>
  <c r="K52" i="4"/>
  <c r="K57" i="4"/>
  <c r="K58" i="4"/>
  <c r="K59" i="4"/>
  <c r="K60" i="4"/>
  <c r="K61" i="4"/>
  <c r="K44" i="4"/>
  <c r="K62" i="4"/>
  <c r="K63" i="4"/>
  <c r="K46" i="4"/>
  <c r="K24" i="4"/>
  <c r="K64" i="4"/>
  <c r="K27" i="4"/>
  <c r="K65" i="4"/>
  <c r="J8" i="4"/>
  <c r="J6" i="4"/>
  <c r="J7" i="4"/>
  <c r="J16" i="4"/>
  <c r="J17" i="4"/>
  <c r="J18" i="4"/>
  <c r="J10" i="4"/>
  <c r="J12" i="4"/>
  <c r="J13" i="4"/>
  <c r="J9" i="4"/>
  <c r="J22" i="4"/>
  <c r="J14" i="4"/>
  <c r="J20" i="4"/>
  <c r="J19" i="4"/>
  <c r="J21" i="4"/>
  <c r="J11" i="4"/>
  <c r="J23" i="4"/>
  <c r="J32" i="4"/>
  <c r="J29" i="4"/>
  <c r="J39" i="4"/>
  <c r="J25" i="4"/>
  <c r="J40" i="4"/>
  <c r="J41" i="4"/>
  <c r="J36" i="4"/>
  <c r="J26" i="4"/>
  <c r="J43" i="4"/>
  <c r="J53" i="4"/>
  <c r="J54" i="4"/>
  <c r="J55" i="4"/>
  <c r="J51" i="4"/>
  <c r="J15" i="4"/>
  <c r="J42" i="4"/>
  <c r="J56" i="4"/>
  <c r="J50" i="4"/>
  <c r="J52" i="4"/>
  <c r="J57" i="4"/>
  <c r="J58" i="4"/>
  <c r="J59" i="4"/>
  <c r="J60" i="4"/>
  <c r="J61" i="4"/>
  <c r="J44" i="4"/>
  <c r="J62" i="4"/>
  <c r="J63" i="4"/>
  <c r="J46" i="4"/>
  <c r="J24" i="4"/>
  <c r="J64" i="4"/>
  <c r="J27" i="4"/>
  <c r="J65" i="4"/>
  <c r="I8" i="4"/>
  <c r="I6" i="4"/>
  <c r="I7" i="4"/>
  <c r="I16" i="4"/>
  <c r="I17" i="4"/>
  <c r="I18" i="4"/>
  <c r="I10" i="4"/>
  <c r="I12" i="4"/>
  <c r="I13" i="4"/>
  <c r="I9" i="4"/>
  <c r="I22" i="4"/>
  <c r="I14" i="4"/>
  <c r="I20" i="4"/>
  <c r="I19" i="4"/>
  <c r="I21" i="4"/>
  <c r="I11" i="4"/>
  <c r="I23" i="4"/>
  <c r="I32" i="4"/>
  <c r="I29" i="4"/>
  <c r="I39" i="4"/>
  <c r="I25" i="4"/>
  <c r="I40" i="4"/>
  <c r="I41" i="4"/>
  <c r="I36" i="4"/>
  <c r="I26" i="4"/>
  <c r="I43" i="4"/>
  <c r="I53" i="4"/>
  <c r="I54" i="4"/>
  <c r="I55" i="4"/>
  <c r="I51" i="4"/>
  <c r="I15" i="4"/>
  <c r="I42" i="4"/>
  <c r="I56" i="4"/>
  <c r="I50" i="4"/>
  <c r="I52" i="4"/>
  <c r="I57" i="4"/>
  <c r="I58" i="4"/>
  <c r="I59" i="4"/>
  <c r="I60" i="4"/>
  <c r="I61" i="4"/>
  <c r="I44" i="4"/>
  <c r="I62" i="4"/>
  <c r="I63" i="4"/>
  <c r="I46" i="4"/>
  <c r="I24" i="4"/>
  <c r="I64" i="4"/>
  <c r="I27" i="4"/>
  <c r="I65" i="4"/>
  <c r="K5" i="4"/>
  <c r="J5" i="4"/>
  <c r="I5" i="4"/>
  <c r="F36" i="3"/>
  <c r="E36" i="3"/>
  <c r="G20" i="3"/>
  <c r="D36" i="3"/>
  <c r="D37" i="3" s="1"/>
  <c r="C40" i="3" s="1"/>
  <c r="H30" i="3" s="1"/>
  <c r="G35" i="3"/>
  <c r="G34" i="3"/>
  <c r="G8" i="4"/>
  <c r="G6" i="4"/>
  <c r="G7" i="4"/>
  <c r="G16" i="4"/>
  <c r="G17" i="4"/>
  <c r="G10" i="4"/>
  <c r="G18" i="4"/>
  <c r="G12" i="4"/>
  <c r="G22" i="4"/>
  <c r="G9" i="4"/>
  <c r="G13" i="4"/>
  <c r="G20" i="4"/>
  <c r="G14" i="4"/>
  <c r="G19" i="4"/>
  <c r="G21" i="4"/>
  <c r="G23" i="4"/>
  <c r="G11" i="4"/>
  <c r="G29" i="4"/>
  <c r="G32" i="4"/>
  <c r="G39" i="4"/>
  <c r="G25" i="4"/>
  <c r="G40" i="4"/>
  <c r="G41" i="4"/>
  <c r="G36" i="4"/>
  <c r="G26" i="4"/>
  <c r="G53" i="4"/>
  <c r="G54" i="4"/>
  <c r="G55" i="4"/>
  <c r="G51" i="4"/>
  <c r="G15" i="4"/>
  <c r="G42" i="4"/>
  <c r="G56" i="4"/>
  <c r="G50" i="4"/>
  <c r="G52" i="4"/>
  <c r="G57" i="4"/>
  <c r="G58" i="4"/>
  <c r="G59" i="4"/>
  <c r="G60" i="4"/>
  <c r="G61" i="4"/>
  <c r="G44" i="4"/>
  <c r="G62" i="4"/>
  <c r="G43" i="4"/>
  <c r="G63" i="4"/>
  <c r="G46" i="4"/>
  <c r="G24" i="4"/>
  <c r="F8" i="4"/>
  <c r="F6" i="4"/>
  <c r="F7" i="4"/>
  <c r="F16" i="4"/>
  <c r="F17" i="4"/>
  <c r="F10" i="4"/>
  <c r="F18" i="4"/>
  <c r="F12" i="4"/>
  <c r="F22" i="4"/>
  <c r="F9" i="4"/>
  <c r="F13" i="4"/>
  <c r="F20" i="4"/>
  <c r="F14" i="4"/>
  <c r="F19" i="4"/>
  <c r="F21" i="4"/>
  <c r="F23" i="4"/>
  <c r="F11" i="4"/>
  <c r="F29" i="4"/>
  <c r="F32" i="4"/>
  <c r="F39" i="4"/>
  <c r="F25" i="4"/>
  <c r="F40" i="4"/>
  <c r="F41" i="4"/>
  <c r="F36" i="4"/>
  <c r="F26" i="4"/>
  <c r="F53" i="4"/>
  <c r="F54" i="4"/>
  <c r="F55" i="4"/>
  <c r="F51" i="4"/>
  <c r="F15" i="4"/>
  <c r="F42" i="4"/>
  <c r="F56" i="4"/>
  <c r="F50" i="4"/>
  <c r="F52" i="4"/>
  <c r="F57" i="4"/>
  <c r="F58" i="4"/>
  <c r="F59" i="4"/>
  <c r="F60" i="4"/>
  <c r="F61" i="4"/>
  <c r="F44" i="4"/>
  <c r="F62" i="4"/>
  <c r="F43" i="4"/>
  <c r="F63" i="4"/>
  <c r="F46" i="4"/>
  <c r="F24" i="4"/>
  <c r="E8" i="4"/>
  <c r="E6" i="4"/>
  <c r="E7" i="4"/>
  <c r="E16" i="4"/>
  <c r="E17" i="4"/>
  <c r="E10" i="4"/>
  <c r="E18" i="4"/>
  <c r="E12" i="4"/>
  <c r="E22" i="4"/>
  <c r="E9" i="4"/>
  <c r="E13" i="4"/>
  <c r="E20" i="4"/>
  <c r="E14" i="4"/>
  <c r="E19" i="4"/>
  <c r="E21" i="4"/>
  <c r="E23" i="4"/>
  <c r="E11" i="4"/>
  <c r="E29" i="4"/>
  <c r="E32" i="4"/>
  <c r="E39" i="4"/>
  <c r="E25" i="4"/>
  <c r="E40" i="4"/>
  <c r="E41" i="4"/>
  <c r="E36" i="4"/>
  <c r="E26" i="4"/>
  <c r="E53" i="4"/>
  <c r="E54" i="4"/>
  <c r="E55" i="4"/>
  <c r="E51" i="4"/>
  <c r="E15" i="4"/>
  <c r="E42" i="4"/>
  <c r="E56" i="4"/>
  <c r="E50" i="4"/>
  <c r="E52" i="4"/>
  <c r="E57" i="4"/>
  <c r="E58" i="4"/>
  <c r="E59" i="4"/>
  <c r="E60" i="4"/>
  <c r="E61" i="4"/>
  <c r="E44" i="4"/>
  <c r="E62" i="4"/>
  <c r="E43" i="4"/>
  <c r="E63" i="4"/>
  <c r="E46" i="4"/>
  <c r="E24" i="4"/>
  <c r="G33" i="3"/>
  <c r="G22" i="3"/>
  <c r="G29" i="3"/>
  <c r="G27" i="3"/>
  <c r="E5" i="4"/>
  <c r="F5" i="4"/>
  <c r="G5" i="4"/>
  <c r="G16" i="3"/>
  <c r="G21" i="3"/>
  <c r="G15" i="3"/>
  <c r="G11" i="3"/>
  <c r="G12" i="3"/>
  <c r="G5" i="3"/>
  <c r="G28" i="3"/>
  <c r="G8" i="3"/>
  <c r="G26" i="3"/>
  <c r="G32" i="3"/>
  <c r="G31" i="3"/>
  <c r="G25" i="3"/>
  <c r="G17" i="3"/>
  <c r="G4" i="3"/>
  <c r="G9" i="3"/>
  <c r="G13" i="3"/>
  <c r="G7" i="3"/>
  <c r="G10" i="3"/>
  <c r="G23" i="3"/>
  <c r="G24" i="3"/>
  <c r="G19" i="3"/>
  <c r="G3" i="3"/>
  <c r="G6" i="3"/>
  <c r="G14" i="3"/>
  <c r="G18" i="3"/>
  <c r="G30" i="3"/>
  <c r="G39" i="3" a="1"/>
  <c r="G39" i="3" s="1"/>
  <c r="H51" i="3"/>
  <c r="I51" i="3"/>
  <c r="J51" i="3"/>
  <c r="K51" i="3"/>
  <c r="L51" i="3"/>
  <c r="M51" i="3"/>
  <c r="O51" i="3"/>
  <c r="P51" i="3"/>
  <c r="Q51" i="3"/>
  <c r="Q36" i="2"/>
  <c r="J37" i="2"/>
  <c r="J47" i="2" s="1"/>
  <c r="I44" i="2"/>
  <c r="G45" i="2"/>
  <c r="G47" i="2" s="1"/>
  <c r="I36" i="2"/>
  <c r="O36" i="2"/>
  <c r="O47" i="2" s="1"/>
  <c r="H36" i="2"/>
  <c r="H47" i="2" s="1"/>
  <c r="K47" i="2"/>
  <c r="L47" i="2"/>
  <c r="M47" i="2"/>
  <c r="N47" i="2"/>
  <c r="P47" i="2"/>
  <c r="Q47" i="2"/>
  <c r="G35" i="2" a="1"/>
  <c r="G35" i="2" s="1"/>
  <c r="F32" i="2"/>
  <c r="E32" i="2"/>
  <c r="G23" i="2"/>
  <c r="D32" i="2"/>
  <c r="D33" i="2" s="1"/>
  <c r="C40" i="2" s="1"/>
  <c r="H17" i="2" s="1"/>
  <c r="G29" i="2"/>
  <c r="G30" i="2"/>
  <c r="G31" i="2"/>
  <c r="G14" i="2"/>
  <c r="G16" i="2"/>
  <c r="G20" i="2"/>
  <c r="G28" i="2"/>
  <c r="G17" i="2"/>
  <c r="G27" i="2"/>
  <c r="G11" i="2"/>
  <c r="G21" i="2"/>
  <c r="G26" i="2"/>
  <c r="G25" i="2"/>
  <c r="G24" i="2"/>
  <c r="G7" i="2"/>
  <c r="G19" i="2"/>
  <c r="G22" i="2"/>
  <c r="G12" i="2"/>
  <c r="G18" i="2"/>
  <c r="G13" i="2"/>
  <c r="G6" i="2"/>
  <c r="G5" i="2"/>
  <c r="G10" i="2"/>
  <c r="G15" i="2"/>
  <c r="G9" i="2"/>
  <c r="G4" i="2"/>
  <c r="G8" i="2"/>
  <c r="G3" i="2"/>
  <c r="U81" i="4" l="1"/>
  <c r="AC46" i="10"/>
  <c r="U23" i="4"/>
  <c r="X23" i="4" s="1"/>
  <c r="AC44" i="10"/>
  <c r="X81" i="4"/>
  <c r="Y81" i="4"/>
  <c r="AB81" i="4" s="1"/>
  <c r="G23" i="10"/>
  <c r="I23" i="10"/>
  <c r="G16" i="10"/>
  <c r="I16" i="10"/>
  <c r="AC43" i="10"/>
  <c r="G22" i="10"/>
  <c r="I22" i="10"/>
  <c r="H82" i="4"/>
  <c r="G3" i="10"/>
  <c r="I13" i="10"/>
  <c r="P82" i="4"/>
  <c r="AC37" i="10"/>
  <c r="G21" i="10"/>
  <c r="Z44" i="10"/>
  <c r="V82" i="4"/>
  <c r="U82" i="4"/>
  <c r="Y82" i="4" s="1"/>
  <c r="U7" i="4"/>
  <c r="AA82" i="4"/>
  <c r="L80" i="4"/>
  <c r="I21" i="10"/>
  <c r="AC35" i="10"/>
  <c r="V7" i="4"/>
  <c r="Z7" i="4" s="1"/>
  <c r="G19" i="10"/>
  <c r="AC39" i="10"/>
  <c r="U80" i="4"/>
  <c r="Y80" i="4" s="1"/>
  <c r="I3" i="10"/>
  <c r="AC38" i="10"/>
  <c r="G20" i="10"/>
  <c r="G8" i="10"/>
  <c r="I15" i="10"/>
  <c r="I8" i="10"/>
  <c r="U15" i="4"/>
  <c r="U35" i="4"/>
  <c r="X35" i="4" s="1"/>
  <c r="I19" i="10"/>
  <c r="U31" i="4"/>
  <c r="Y31" i="4" s="1"/>
  <c r="G15" i="10"/>
  <c r="V31" i="4"/>
  <c r="Z31" i="4" s="1"/>
  <c r="I14" i="10"/>
  <c r="Z41" i="10"/>
  <c r="Z40" i="10"/>
  <c r="I6" i="10"/>
  <c r="Z38" i="10"/>
  <c r="L77" i="4"/>
  <c r="AA80" i="4"/>
  <c r="Z80" i="4"/>
  <c r="T80" i="4"/>
  <c r="H80" i="4"/>
  <c r="P80" i="4"/>
  <c r="V15" i="4"/>
  <c r="G6" i="10"/>
  <c r="I20" i="10"/>
  <c r="G14" i="10"/>
  <c r="Y17" i="4"/>
  <c r="AA7" i="4"/>
  <c r="U10" i="4"/>
  <c r="X10" i="4" s="1"/>
  <c r="Y72" i="4"/>
  <c r="Y40" i="4"/>
  <c r="X24" i="4"/>
  <c r="Z37" i="10"/>
  <c r="X48" i="4"/>
  <c r="AA66" i="4"/>
  <c r="Z35" i="10"/>
  <c r="AA58" i="4"/>
  <c r="AA74" i="4"/>
  <c r="Z43" i="10"/>
  <c r="AA50" i="4"/>
  <c r="Y60" i="4"/>
  <c r="AA36" i="4"/>
  <c r="AA27" i="4"/>
  <c r="AA42" i="4"/>
  <c r="AA19" i="4"/>
  <c r="Y48" i="4"/>
  <c r="X54" i="4"/>
  <c r="Z41" i="4"/>
  <c r="Z18" i="4"/>
  <c r="Z65" i="4"/>
  <c r="Y83" i="4"/>
  <c r="Z40" i="4"/>
  <c r="AA57" i="4"/>
  <c r="Z83" i="4"/>
  <c r="Y64" i="4"/>
  <c r="X20" i="4"/>
  <c r="Z24" i="4"/>
  <c r="AA9" i="4"/>
  <c r="Z64" i="4"/>
  <c r="Z78" i="4"/>
  <c r="AA83" i="4"/>
  <c r="Z16" i="4"/>
  <c r="Z32" i="4"/>
  <c r="AA56" i="4"/>
  <c r="AA64" i="4"/>
  <c r="Z55" i="4"/>
  <c r="AA23" i="4"/>
  <c r="AA40" i="4"/>
  <c r="Z71" i="4"/>
  <c r="Z39" i="4"/>
  <c r="U14" i="4"/>
  <c r="Z54" i="4"/>
  <c r="Z23" i="4"/>
  <c r="AA24" i="4"/>
  <c r="AA17" i="4"/>
  <c r="AA72" i="4"/>
  <c r="Y53" i="4"/>
  <c r="Z70" i="4"/>
  <c r="AA48" i="4"/>
  <c r="Y45" i="4"/>
  <c r="AA33" i="4"/>
  <c r="Z63" i="4"/>
  <c r="Z79" i="4"/>
  <c r="Y62" i="4"/>
  <c r="Z47" i="4"/>
  <c r="Y78" i="4"/>
  <c r="Y38" i="4"/>
  <c r="X79" i="4"/>
  <c r="X71" i="4"/>
  <c r="X63" i="4"/>
  <c r="X55" i="4"/>
  <c r="X47" i="4"/>
  <c r="X39" i="4"/>
  <c r="X32" i="4"/>
  <c r="X16" i="4"/>
  <c r="Z53" i="4"/>
  <c r="X44" i="4"/>
  <c r="X37" i="4"/>
  <c r="Y52" i="4"/>
  <c r="Z61" i="4"/>
  <c r="AA46" i="4"/>
  <c r="AA39" i="4"/>
  <c r="Y26" i="4"/>
  <c r="AA63" i="4"/>
  <c r="AA32" i="4"/>
  <c r="Z45" i="4"/>
  <c r="AA79" i="4"/>
  <c r="X72" i="4"/>
  <c r="Y43" i="4"/>
  <c r="Y29" i="4"/>
  <c r="Z21" i="4"/>
  <c r="AA16" i="4"/>
  <c r="Y68" i="4"/>
  <c r="AA77" i="4"/>
  <c r="Y56" i="4"/>
  <c r="Z14" i="4"/>
  <c r="AA6" i="4"/>
  <c r="Y75" i="4"/>
  <c r="AA71" i="4"/>
  <c r="Z42" i="4"/>
  <c r="AA55" i="4"/>
  <c r="AA20" i="4"/>
  <c r="AA47" i="4"/>
  <c r="Z38" i="4"/>
  <c r="Y41" i="4"/>
  <c r="Z67" i="4"/>
  <c r="Z69" i="4"/>
  <c r="Y73" i="4"/>
  <c r="Z75" i="4"/>
  <c r="Y50" i="4"/>
  <c r="Z60" i="4"/>
  <c r="AA54" i="4"/>
  <c r="AA13" i="4"/>
  <c r="U8" i="4"/>
  <c r="X8" i="4" s="1"/>
  <c r="Y36" i="4"/>
  <c r="Z59" i="4"/>
  <c r="Z51" i="4"/>
  <c r="Z25" i="4"/>
  <c r="AA43" i="4"/>
  <c r="Z68" i="4"/>
  <c r="Y74" i="4"/>
  <c r="AA30" i="4"/>
  <c r="Y77" i="4"/>
  <c r="AA75" i="4"/>
  <c r="X17" i="4"/>
  <c r="Y42" i="4"/>
  <c r="AA8" i="4"/>
  <c r="Y19" i="4"/>
  <c r="AA35" i="4"/>
  <c r="Y65" i="4"/>
  <c r="Y58" i="4"/>
  <c r="AA10" i="4"/>
  <c r="Y27" i="4"/>
  <c r="Y49" i="4"/>
  <c r="AA62" i="4"/>
  <c r="AA78" i="4"/>
  <c r="Y66" i="4"/>
  <c r="AA70" i="4"/>
  <c r="Z43" i="4"/>
  <c r="Z52" i="4"/>
  <c r="Y57" i="4"/>
  <c r="Z44" i="4"/>
  <c r="Z12" i="4"/>
  <c r="X59" i="4"/>
  <c r="Y61" i="4"/>
  <c r="Y21" i="4"/>
  <c r="Z46" i="4"/>
  <c r="Z58" i="4"/>
  <c r="Z20" i="4"/>
  <c r="AA26" i="4"/>
  <c r="AA11" i="4"/>
  <c r="AA22" i="4"/>
  <c r="AA65" i="4"/>
  <c r="Z35" i="4"/>
  <c r="AA28" i="4"/>
  <c r="AA53" i="4"/>
  <c r="Z57" i="4"/>
  <c r="AA76" i="4"/>
  <c r="AA31" i="4"/>
  <c r="X70" i="4"/>
  <c r="Y59" i="4"/>
  <c r="Z9" i="4"/>
  <c r="AA61" i="4"/>
  <c r="AA41" i="4"/>
  <c r="AA21" i="4"/>
  <c r="AA18" i="4"/>
  <c r="Z66" i="4"/>
  <c r="AA67" i="4"/>
  <c r="AA34" i="4"/>
  <c r="AA73" i="4"/>
  <c r="Y79" i="4"/>
  <c r="Z36" i="10"/>
  <c r="Z10" i="4"/>
  <c r="Z27" i="4"/>
  <c r="Z74" i="4"/>
  <c r="Y23" i="4"/>
  <c r="AA52" i="4"/>
  <c r="AA29" i="4"/>
  <c r="AA44" i="4"/>
  <c r="AA12" i="4"/>
  <c r="X78" i="4"/>
  <c r="X30" i="4"/>
  <c r="Y46" i="4"/>
  <c r="Y55" i="4"/>
  <c r="Y39" i="4"/>
  <c r="Y20" i="4"/>
  <c r="Y16" i="4"/>
  <c r="Z62" i="4"/>
  <c r="Z26" i="4"/>
  <c r="Z8" i="4"/>
  <c r="AA60" i="4"/>
  <c r="AA15" i="4"/>
  <c r="Y37" i="4"/>
  <c r="AA37" i="4"/>
  <c r="Z72" i="4"/>
  <c r="X73" i="4"/>
  <c r="X65" i="4"/>
  <c r="X57" i="4"/>
  <c r="X49" i="4"/>
  <c r="X41" i="4"/>
  <c r="AA45" i="4"/>
  <c r="U11" i="4"/>
  <c r="Y11" i="4" s="1"/>
  <c r="X62" i="4"/>
  <c r="Y63" i="4"/>
  <c r="Y54" i="4"/>
  <c r="Y32" i="4"/>
  <c r="Y13" i="4"/>
  <c r="Z56" i="4"/>
  <c r="Z36" i="4"/>
  <c r="AA59" i="4"/>
  <c r="AA51" i="4"/>
  <c r="AA25" i="4"/>
  <c r="AA14" i="4"/>
  <c r="Z49" i="4"/>
  <c r="AA69" i="4"/>
  <c r="Z48" i="4"/>
  <c r="Z33" i="4"/>
  <c r="AA38" i="4"/>
  <c r="X83" i="4"/>
  <c r="X13" i="4"/>
  <c r="AA5" i="4"/>
  <c r="Z5" i="4"/>
  <c r="U5" i="4"/>
  <c r="X5" i="4" s="1"/>
  <c r="X75" i="4"/>
  <c r="X67" i="4"/>
  <c r="X51" i="4"/>
  <c r="X43" i="4"/>
  <c r="X25" i="4"/>
  <c r="X21" i="4"/>
  <c r="X64" i="4"/>
  <c r="X56" i="4"/>
  <c r="X40" i="4"/>
  <c r="X33" i="4"/>
  <c r="X46" i="4"/>
  <c r="X6" i="4"/>
  <c r="X68" i="4"/>
  <c r="X60" i="4"/>
  <c r="X52" i="4"/>
  <c r="X29" i="4"/>
  <c r="X22" i="4"/>
  <c r="X12" i="4"/>
  <c r="X77" i="4"/>
  <c r="X69" i="4"/>
  <c r="X61" i="4"/>
  <c r="X53" i="4"/>
  <c r="X45" i="4"/>
  <c r="X38" i="4"/>
  <c r="X42" i="4"/>
  <c r="X58" i="4"/>
  <c r="X74" i="4"/>
  <c r="X9" i="4"/>
  <c r="X18" i="4"/>
  <c r="X26" i="4"/>
  <c r="X28" i="4"/>
  <c r="X34" i="4"/>
  <c r="X50" i="4"/>
  <c r="X66" i="4"/>
  <c r="X19" i="4"/>
  <c r="X27" i="4"/>
  <c r="X36" i="4"/>
  <c r="X76" i="4"/>
  <c r="P77" i="4"/>
  <c r="G10" i="10"/>
  <c r="G4" i="10"/>
  <c r="I9" i="10"/>
  <c r="I17" i="10"/>
  <c r="I12" i="10"/>
  <c r="I24" i="10"/>
  <c r="I10" i="10"/>
  <c r="I18" i="10"/>
  <c r="G5" i="10"/>
  <c r="I11" i="10"/>
  <c r="G18" i="10"/>
  <c r="I7" i="10"/>
  <c r="E25" i="10"/>
  <c r="G24" i="10"/>
  <c r="I5" i="10"/>
  <c r="F25" i="10"/>
  <c r="G17" i="10"/>
  <c r="G9" i="10"/>
  <c r="G12" i="10"/>
  <c r="G11" i="10"/>
  <c r="G7" i="10"/>
  <c r="D25" i="10"/>
  <c r="D26" i="10" s="1"/>
  <c r="I4" i="10"/>
  <c r="Z39" i="10"/>
  <c r="Z42" i="10"/>
  <c r="AC51" i="8"/>
  <c r="AC52" i="8"/>
  <c r="R19" i="4"/>
  <c r="T19" i="4" s="1"/>
  <c r="G31" i="8"/>
  <c r="Z49" i="8"/>
  <c r="Z59" i="8"/>
  <c r="I35" i="8"/>
  <c r="I23" i="8"/>
  <c r="Q51" i="4"/>
  <c r="T51" i="4" s="1"/>
  <c r="G35" i="8"/>
  <c r="G33" i="8"/>
  <c r="R50" i="4"/>
  <c r="Z50" i="4" s="1"/>
  <c r="Z58" i="8"/>
  <c r="I33" i="8"/>
  <c r="I31" i="8"/>
  <c r="H77" i="4"/>
  <c r="AC68" i="8"/>
  <c r="R77" i="4"/>
  <c r="Z77" i="4" s="1"/>
  <c r="AC67" i="8"/>
  <c r="AC49" i="8"/>
  <c r="AC50" i="8"/>
  <c r="I28" i="8"/>
  <c r="M67" i="4"/>
  <c r="P67" i="4" s="1"/>
  <c r="I35" i="6"/>
  <c r="I36" i="6"/>
  <c r="I29" i="6"/>
  <c r="I6" i="6"/>
  <c r="I22" i="6"/>
  <c r="I30" i="6"/>
  <c r="I38" i="6"/>
  <c r="I46" i="6"/>
  <c r="M24" i="4"/>
  <c r="Y24" i="4" s="1"/>
  <c r="M69" i="4"/>
  <c r="P69" i="4" s="1"/>
  <c r="AC66" i="6"/>
  <c r="I15" i="6"/>
  <c r="I23" i="6"/>
  <c r="I39" i="6"/>
  <c r="I20" i="6"/>
  <c r="I21" i="6"/>
  <c r="I45" i="6"/>
  <c r="Z65" i="6"/>
  <c r="AC67" i="6"/>
  <c r="G29" i="6"/>
  <c r="I8" i="6"/>
  <c r="I16" i="6"/>
  <c r="I24" i="6"/>
  <c r="I32" i="6"/>
  <c r="I44" i="6"/>
  <c r="M47" i="4"/>
  <c r="Y47" i="4" s="1"/>
  <c r="M30" i="4"/>
  <c r="Y30" i="4" s="1"/>
  <c r="M8" i="4"/>
  <c r="P8" i="4" s="1"/>
  <c r="I9" i="6"/>
  <c r="I25" i="6"/>
  <c r="I33" i="6"/>
  <c r="I41" i="6"/>
  <c r="I49" i="6"/>
  <c r="I28" i="6"/>
  <c r="G44" i="6"/>
  <c r="I37" i="6"/>
  <c r="M9" i="4"/>
  <c r="Y9" i="4" s="1"/>
  <c r="I10" i="6"/>
  <c r="I18" i="6"/>
  <c r="I26" i="6"/>
  <c r="I42" i="6"/>
  <c r="C58" i="3"/>
  <c r="L38" i="4"/>
  <c r="T38" i="4"/>
  <c r="L31" i="4"/>
  <c r="AC48" i="8"/>
  <c r="G36" i="8"/>
  <c r="Q34" i="4"/>
  <c r="Z56" i="8"/>
  <c r="C36" i="2"/>
  <c r="H28" i="2" s="1"/>
  <c r="C39" i="2"/>
  <c r="H13" i="2" s="1"/>
  <c r="C47" i="2"/>
  <c r="H15" i="2" s="1"/>
  <c r="C54" i="2"/>
  <c r="C46" i="2"/>
  <c r="C38" i="2"/>
  <c r="H23" i="2" s="1"/>
  <c r="J23" i="2" s="1"/>
  <c r="C53" i="2"/>
  <c r="H4" i="2" s="1"/>
  <c r="C51" i="2"/>
  <c r="H7" i="2" s="1"/>
  <c r="C43" i="2"/>
  <c r="H12" i="2" s="1"/>
  <c r="H18" i="2"/>
  <c r="J18" i="2" s="1"/>
  <c r="C50" i="2"/>
  <c r="H9" i="2" s="1"/>
  <c r="C42" i="2"/>
  <c r="H30" i="2"/>
  <c r="J30" i="2" s="1"/>
  <c r="C45" i="2"/>
  <c r="C52" i="2"/>
  <c r="H5" i="2" s="1"/>
  <c r="C44" i="2"/>
  <c r="H38" i="4"/>
  <c r="C49" i="2"/>
  <c r="C41" i="2"/>
  <c r="H26" i="2"/>
  <c r="J26" i="2" s="1"/>
  <c r="C37" i="2"/>
  <c r="C48" i="2"/>
  <c r="H6" i="2" s="1"/>
  <c r="P38" i="4"/>
  <c r="P31" i="4"/>
  <c r="G28" i="8"/>
  <c r="I36" i="8"/>
  <c r="R34" i="4"/>
  <c r="Z34" i="4" s="1"/>
  <c r="AC66" i="8"/>
  <c r="T31" i="4"/>
  <c r="H31" i="4"/>
  <c r="I14" i="8"/>
  <c r="G14" i="8"/>
  <c r="AC54" i="8"/>
  <c r="H79" i="4"/>
  <c r="AC63" i="8"/>
  <c r="AC64" i="8"/>
  <c r="AC65" i="8"/>
  <c r="AC61" i="8"/>
  <c r="I5" i="8"/>
  <c r="AC62" i="8"/>
  <c r="I26" i="8"/>
  <c r="Z57" i="8"/>
  <c r="AC59" i="8"/>
  <c r="AC60" i="8"/>
  <c r="I15" i="8"/>
  <c r="G26" i="8"/>
  <c r="Q18" i="4"/>
  <c r="Y18" i="4" s="1"/>
  <c r="R15" i="4"/>
  <c r="T15" i="4" s="1"/>
  <c r="G5" i="8"/>
  <c r="G15" i="8"/>
  <c r="I22" i="8"/>
  <c r="AC55" i="8"/>
  <c r="G22" i="8"/>
  <c r="AC56" i="8"/>
  <c r="AC57" i="8"/>
  <c r="Z54" i="8"/>
  <c r="L83" i="4"/>
  <c r="Q28" i="4"/>
  <c r="Y28" i="4" s="1"/>
  <c r="Z53" i="8"/>
  <c r="AC53" i="8"/>
  <c r="Z50" i="8"/>
  <c r="G11" i="8"/>
  <c r="Z55" i="8"/>
  <c r="Z51" i="8"/>
  <c r="Z52" i="8"/>
  <c r="P79" i="4"/>
  <c r="I25" i="8"/>
  <c r="R28" i="4"/>
  <c r="I30" i="8"/>
  <c r="I11" i="8"/>
  <c r="G25" i="8"/>
  <c r="G30" i="8"/>
  <c r="I34" i="8"/>
  <c r="Q22" i="4"/>
  <c r="Y22" i="4" s="1"/>
  <c r="Q33" i="4"/>
  <c r="Y33" i="4" s="1"/>
  <c r="Q8" i="4"/>
  <c r="I27" i="8"/>
  <c r="Q7" i="4"/>
  <c r="T83" i="4"/>
  <c r="I19" i="8"/>
  <c r="Z48" i="8"/>
  <c r="Q10" i="4"/>
  <c r="T10" i="4" s="1"/>
  <c r="R17" i="4"/>
  <c r="T17" i="4" s="1"/>
  <c r="R37" i="4"/>
  <c r="T37" i="4" s="1"/>
  <c r="R22" i="4"/>
  <c r="Z22" i="4" s="1"/>
  <c r="Q14" i="4"/>
  <c r="I20" i="8"/>
  <c r="P33" i="4"/>
  <c r="L79" i="4"/>
  <c r="H33" i="4"/>
  <c r="H83" i="4"/>
  <c r="T79" i="4"/>
  <c r="P83" i="4"/>
  <c r="L33" i="4"/>
  <c r="D38" i="8"/>
  <c r="D39" i="8" s="1"/>
  <c r="E38" i="8"/>
  <c r="F38" i="8"/>
  <c r="G19" i="8"/>
  <c r="G9" i="8"/>
  <c r="G34" i="8"/>
  <c r="I9" i="8"/>
  <c r="G27" i="8"/>
  <c r="I21" i="8"/>
  <c r="G21" i="8"/>
  <c r="G20" i="8"/>
  <c r="T11" i="4"/>
  <c r="I7" i="8"/>
  <c r="T21" i="4"/>
  <c r="I16" i="8"/>
  <c r="T78" i="4"/>
  <c r="G10" i="8"/>
  <c r="I13" i="8"/>
  <c r="I10" i="8"/>
  <c r="I17" i="8"/>
  <c r="G7" i="8"/>
  <c r="G13" i="8"/>
  <c r="G16" i="8"/>
  <c r="G17" i="8"/>
  <c r="I6" i="8"/>
  <c r="I12" i="8"/>
  <c r="I18" i="8"/>
  <c r="I3" i="8"/>
  <c r="I4" i="8"/>
  <c r="I32" i="8"/>
  <c r="I29" i="8"/>
  <c r="I24" i="8"/>
  <c r="I37" i="8"/>
  <c r="T23" i="4"/>
  <c r="T54" i="4"/>
  <c r="T60" i="4"/>
  <c r="T35" i="4"/>
  <c r="T73" i="4"/>
  <c r="T39" i="4"/>
  <c r="T68" i="4"/>
  <c r="T36" i="4"/>
  <c r="T44" i="4"/>
  <c r="T55" i="4"/>
  <c r="T61" i="4"/>
  <c r="T67" i="4"/>
  <c r="T74" i="4"/>
  <c r="T13" i="4"/>
  <c r="T40" i="4"/>
  <c r="T63" i="4"/>
  <c r="I8" i="8"/>
  <c r="T16" i="4"/>
  <c r="T20" i="4"/>
  <c r="T29" i="4"/>
  <c r="T53" i="4"/>
  <c r="T59" i="4"/>
  <c r="T72" i="4"/>
  <c r="T26" i="4"/>
  <c r="T46" i="4"/>
  <c r="T62" i="4"/>
  <c r="T75" i="4"/>
  <c r="T27" i="4"/>
  <c r="T47" i="4"/>
  <c r="T56" i="4"/>
  <c r="P78" i="4"/>
  <c r="T12" i="4"/>
  <c r="T57" i="4"/>
  <c r="T52" i="4"/>
  <c r="T71" i="4"/>
  <c r="T48" i="4"/>
  <c r="T30" i="4"/>
  <c r="H78" i="4"/>
  <c r="T43" i="4"/>
  <c r="T66" i="4"/>
  <c r="T64" i="4"/>
  <c r="T25" i="4"/>
  <c r="T65" i="4"/>
  <c r="T32" i="4"/>
  <c r="T58" i="4"/>
  <c r="T41" i="4"/>
  <c r="T70" i="4"/>
  <c r="T42" i="4"/>
  <c r="T45" i="4"/>
  <c r="T69" i="4"/>
  <c r="T76" i="4"/>
  <c r="L78" i="4"/>
  <c r="S58" i="8"/>
  <c r="S59" i="8" s="1"/>
  <c r="AA2" i="8"/>
  <c r="AB2" i="8" s="1"/>
  <c r="AC2" i="8" s="1"/>
  <c r="AD2" i="8" s="1"/>
  <c r="G29" i="8"/>
  <c r="G3" i="8"/>
  <c r="G8" i="8"/>
  <c r="G12" i="8"/>
  <c r="G32" i="8"/>
  <c r="G18" i="8"/>
  <c r="G4" i="8"/>
  <c r="G6" i="8"/>
  <c r="G37" i="8"/>
  <c r="G24" i="8"/>
  <c r="P75" i="4"/>
  <c r="H76" i="4"/>
  <c r="H75" i="4"/>
  <c r="L75" i="4"/>
  <c r="L45" i="4"/>
  <c r="L76" i="4"/>
  <c r="Z70" i="6"/>
  <c r="AC69" i="6"/>
  <c r="G5" i="6"/>
  <c r="AC70" i="6"/>
  <c r="G7" i="6"/>
  <c r="AC79" i="6"/>
  <c r="AC95" i="6"/>
  <c r="M76" i="4"/>
  <c r="Y76" i="4" s="1"/>
  <c r="G36" i="6"/>
  <c r="M5" i="4"/>
  <c r="P5" i="4" s="1"/>
  <c r="AC94" i="6"/>
  <c r="AC85" i="6"/>
  <c r="G39" i="6"/>
  <c r="Z69" i="6"/>
  <c r="AC74" i="6"/>
  <c r="AC78" i="6"/>
  <c r="AC86" i="6"/>
  <c r="AC77" i="6"/>
  <c r="AC61" i="6"/>
  <c r="AC80" i="6"/>
  <c r="AC88" i="6"/>
  <c r="AC96" i="6"/>
  <c r="AC81" i="6"/>
  <c r="AC89" i="6"/>
  <c r="N76" i="4"/>
  <c r="Z76" i="4" s="1"/>
  <c r="G42" i="6"/>
  <c r="AC63" i="6"/>
  <c r="G13" i="6"/>
  <c r="Z63" i="6"/>
  <c r="AC64" i="6"/>
  <c r="AC75" i="6"/>
  <c r="AC83" i="6"/>
  <c r="AC91" i="6"/>
  <c r="AC87" i="6"/>
  <c r="AC65" i="6"/>
  <c r="AC92" i="6"/>
  <c r="AC72" i="6"/>
  <c r="M10" i="4"/>
  <c r="Z68" i="6"/>
  <c r="Z67" i="6"/>
  <c r="G4" i="6"/>
  <c r="P45" i="4"/>
  <c r="H45" i="4"/>
  <c r="G48" i="6"/>
  <c r="G49" i="6"/>
  <c r="G33" i="6"/>
  <c r="G22" i="6"/>
  <c r="N30" i="4"/>
  <c r="Z30" i="4" s="1"/>
  <c r="G31" i="6"/>
  <c r="G40" i="6"/>
  <c r="G47" i="6"/>
  <c r="G16" i="6"/>
  <c r="G10" i="6"/>
  <c r="G50" i="6"/>
  <c r="G26" i="6"/>
  <c r="M70" i="4"/>
  <c r="Y70" i="4" s="1"/>
  <c r="N29" i="4"/>
  <c r="P29" i="4" s="1"/>
  <c r="N73" i="4"/>
  <c r="Z73" i="4" s="1"/>
  <c r="G32" i="6"/>
  <c r="G34" i="6"/>
  <c r="G41" i="6"/>
  <c r="G25" i="6"/>
  <c r="G37" i="6"/>
  <c r="N19" i="4"/>
  <c r="P19" i="4" s="1"/>
  <c r="G17" i="6"/>
  <c r="O68" i="4"/>
  <c r="AA68" i="4" s="1"/>
  <c r="G18" i="6"/>
  <c r="G19" i="6"/>
  <c r="N11" i="4"/>
  <c r="Z11" i="4" s="1"/>
  <c r="G15" i="6"/>
  <c r="G23" i="6"/>
  <c r="G9" i="6"/>
  <c r="F51" i="6"/>
  <c r="O49" i="4"/>
  <c r="AA49" i="4" s="1"/>
  <c r="G28" i="6"/>
  <c r="N28" i="4"/>
  <c r="P28" i="4" s="1"/>
  <c r="G14" i="6"/>
  <c r="G6" i="6"/>
  <c r="N13" i="4"/>
  <c r="P13" i="4" s="1"/>
  <c r="G11" i="6"/>
  <c r="G45" i="6"/>
  <c r="G12" i="6"/>
  <c r="E51" i="6"/>
  <c r="G24" i="6"/>
  <c r="N6" i="4"/>
  <c r="Z6" i="4" s="1"/>
  <c r="G8" i="6"/>
  <c r="M12" i="4"/>
  <c r="Y12" i="4" s="1"/>
  <c r="G46" i="6"/>
  <c r="G38" i="6"/>
  <c r="G21" i="6"/>
  <c r="G20" i="6"/>
  <c r="M34" i="4"/>
  <c r="G43" i="6"/>
  <c r="G35" i="6"/>
  <c r="M15" i="4"/>
  <c r="M71" i="4"/>
  <c r="Y71" i="4" s="1"/>
  <c r="M14" i="4"/>
  <c r="P14" i="4" s="1"/>
  <c r="G30" i="6"/>
  <c r="G27" i="6"/>
  <c r="M25" i="4"/>
  <c r="Y25" i="4" s="1"/>
  <c r="M44" i="4"/>
  <c r="P44" i="4" s="1"/>
  <c r="D51" i="6"/>
  <c r="D52" i="6" s="1"/>
  <c r="C63" i="6" s="1"/>
  <c r="H8" i="6" s="1"/>
  <c r="G3" i="6"/>
  <c r="M6" i="4"/>
  <c r="Y6" i="4" s="1"/>
  <c r="P48" i="4"/>
  <c r="L48" i="4"/>
  <c r="H48" i="4"/>
  <c r="L73" i="4"/>
  <c r="H28" i="4"/>
  <c r="L28" i="4"/>
  <c r="L72" i="4"/>
  <c r="P72" i="4"/>
  <c r="H72" i="4"/>
  <c r="H73" i="4"/>
  <c r="L30" i="4"/>
  <c r="H74" i="4"/>
  <c r="P74" i="4"/>
  <c r="P64" i="4"/>
  <c r="P41" i="4"/>
  <c r="P62" i="4"/>
  <c r="P36" i="4"/>
  <c r="P22" i="4"/>
  <c r="P17" i="4"/>
  <c r="P35" i="4"/>
  <c r="P55" i="4"/>
  <c r="P16" i="4"/>
  <c r="P57" i="4"/>
  <c r="P21" i="4"/>
  <c r="P68" i="4"/>
  <c r="P56" i="4"/>
  <c r="P46" i="4"/>
  <c r="P20" i="4"/>
  <c r="P51" i="4"/>
  <c r="P39" i="4"/>
  <c r="P61" i="4"/>
  <c r="P49" i="4"/>
  <c r="P60" i="4"/>
  <c r="P54" i="4"/>
  <c r="P43" i="4"/>
  <c r="P32" i="4"/>
  <c r="P66" i="4"/>
  <c r="P59" i="4"/>
  <c r="P53" i="4"/>
  <c r="P42" i="4"/>
  <c r="P23" i="4"/>
  <c r="P65" i="4"/>
  <c r="P58" i="4"/>
  <c r="P27" i="4"/>
  <c r="P7" i="4"/>
  <c r="P63" i="4"/>
  <c r="P50" i="4"/>
  <c r="P37" i="4"/>
  <c r="P40" i="4"/>
  <c r="P26" i="4"/>
  <c r="P52" i="4"/>
  <c r="P18" i="4"/>
  <c r="L71" i="4"/>
  <c r="H71" i="4"/>
  <c r="H30" i="4"/>
  <c r="L70" i="4"/>
  <c r="L74" i="4"/>
  <c r="H47" i="4"/>
  <c r="H67" i="4"/>
  <c r="L47" i="4"/>
  <c r="L37" i="4"/>
  <c r="L68" i="4"/>
  <c r="H68" i="4"/>
  <c r="L34" i="4"/>
  <c r="L69" i="4"/>
  <c r="H70" i="4"/>
  <c r="H34" i="4"/>
  <c r="H37" i="4"/>
  <c r="L67" i="4"/>
  <c r="H69" i="4"/>
  <c r="L35" i="4"/>
  <c r="H35" i="4"/>
  <c r="H66" i="4"/>
  <c r="L66" i="4"/>
  <c r="H49" i="4"/>
  <c r="L49" i="4"/>
  <c r="H64" i="4"/>
  <c r="H34" i="3"/>
  <c r="J34" i="3" s="1"/>
  <c r="H33" i="3"/>
  <c r="J33" i="3" s="1"/>
  <c r="H26" i="3"/>
  <c r="J26" i="3" s="1"/>
  <c r="H25" i="3"/>
  <c r="J25" i="3" s="1"/>
  <c r="H61" i="4"/>
  <c r="H18" i="4"/>
  <c r="H65" i="4"/>
  <c r="H27" i="4"/>
  <c r="H35" i="3"/>
  <c r="J35" i="3" s="1"/>
  <c r="H27" i="3"/>
  <c r="J27" i="3" s="1"/>
  <c r="H32" i="3"/>
  <c r="J32" i="3" s="1"/>
  <c r="H24" i="3"/>
  <c r="J24" i="3" s="1"/>
  <c r="H31" i="3"/>
  <c r="J31" i="3" s="1"/>
  <c r="H23" i="3"/>
  <c r="J23" i="3" s="1"/>
  <c r="C57" i="3"/>
  <c r="C56" i="3"/>
  <c r="L63" i="4"/>
  <c r="L52" i="4"/>
  <c r="L53" i="4"/>
  <c r="L29" i="4"/>
  <c r="L22" i="4"/>
  <c r="L7" i="4"/>
  <c r="L62" i="4"/>
  <c r="L50" i="4"/>
  <c r="L43" i="4"/>
  <c r="L32" i="4"/>
  <c r="L9" i="4"/>
  <c r="L6" i="4"/>
  <c r="L56" i="4"/>
  <c r="L23" i="4"/>
  <c r="L8" i="4"/>
  <c r="L65" i="4"/>
  <c r="L61" i="4"/>
  <c r="L42" i="4"/>
  <c r="L36" i="4"/>
  <c r="L11" i="4"/>
  <c r="L12" i="4"/>
  <c r="L44" i="4"/>
  <c r="L26" i="4"/>
  <c r="L13" i="4"/>
  <c r="L27" i="4"/>
  <c r="L60" i="4"/>
  <c r="L15" i="4"/>
  <c r="L41" i="4"/>
  <c r="L21" i="4"/>
  <c r="L10" i="4"/>
  <c r="L64" i="4"/>
  <c r="L59" i="4"/>
  <c r="L51" i="4"/>
  <c r="L40" i="4"/>
  <c r="L19" i="4"/>
  <c r="L18" i="4"/>
  <c r="L24" i="4"/>
  <c r="L58" i="4"/>
  <c r="L55" i="4"/>
  <c r="L25" i="4"/>
  <c r="L20" i="4"/>
  <c r="L17" i="4"/>
  <c r="L46" i="4"/>
  <c r="L57" i="4"/>
  <c r="L54" i="4"/>
  <c r="L39" i="4"/>
  <c r="L14" i="4"/>
  <c r="L16" i="4"/>
  <c r="H36" i="4"/>
  <c r="H23" i="4"/>
  <c r="H12" i="4"/>
  <c r="H56" i="4"/>
  <c r="H42" i="4"/>
  <c r="H21" i="4"/>
  <c r="H44" i="4"/>
  <c r="H60" i="4"/>
  <c r="H15" i="4"/>
  <c r="H19" i="4"/>
  <c r="H10" i="4"/>
  <c r="H63" i="4"/>
  <c r="H57" i="4"/>
  <c r="H54" i="4"/>
  <c r="H32" i="4"/>
  <c r="H13" i="4"/>
  <c r="H7" i="4"/>
  <c r="H43" i="4"/>
  <c r="H52" i="4"/>
  <c r="H53" i="4"/>
  <c r="H29" i="4"/>
  <c r="H9" i="4"/>
  <c r="H6" i="4"/>
  <c r="H41" i="4"/>
  <c r="H40" i="4"/>
  <c r="H46" i="4"/>
  <c r="H58" i="4"/>
  <c r="H55" i="4"/>
  <c r="H39" i="4"/>
  <c r="H20" i="4"/>
  <c r="H16" i="4"/>
  <c r="J30" i="3"/>
  <c r="C55" i="3"/>
  <c r="H62" i="4"/>
  <c r="H50" i="4"/>
  <c r="H26" i="4"/>
  <c r="H11" i="4"/>
  <c r="H22" i="4"/>
  <c r="H8" i="4"/>
  <c r="H59" i="4"/>
  <c r="H51" i="4"/>
  <c r="H25" i="4"/>
  <c r="H14" i="4"/>
  <c r="H17" i="4"/>
  <c r="C54" i="3"/>
  <c r="H24" i="4"/>
  <c r="C53" i="3"/>
  <c r="C48" i="3"/>
  <c r="C47" i="3"/>
  <c r="C46" i="3"/>
  <c r="H14" i="3" s="1"/>
  <c r="C52" i="3"/>
  <c r="C44" i="3"/>
  <c r="H15" i="3" s="1"/>
  <c r="C51" i="3"/>
  <c r="C43" i="3"/>
  <c r="C45" i="3"/>
  <c r="C50" i="3"/>
  <c r="C42" i="3"/>
  <c r="C49" i="3"/>
  <c r="C41" i="3"/>
  <c r="H5" i="4"/>
  <c r="L5" i="4"/>
  <c r="I47" i="2"/>
  <c r="J17" i="2"/>
  <c r="J28" i="2"/>
  <c r="J13" i="2"/>
  <c r="Y7" i="4" l="1"/>
  <c r="X82" i="4"/>
  <c r="Z82" i="4"/>
  <c r="AB82" i="4" s="1"/>
  <c r="X7" i="4"/>
  <c r="X80" i="4"/>
  <c r="Y34" i="4"/>
  <c r="X15" i="4"/>
  <c r="Y15" i="4"/>
  <c r="Y35" i="4"/>
  <c r="AB35" i="4" s="1"/>
  <c r="X31" i="4"/>
  <c r="AB80" i="4"/>
  <c r="Z29" i="4"/>
  <c r="Y44" i="4"/>
  <c r="Y14" i="4"/>
  <c r="Y10" i="4"/>
  <c r="X14" i="4"/>
  <c r="X11" i="4"/>
  <c r="Y5" i="4"/>
  <c r="Z13" i="4"/>
  <c r="Y67" i="4"/>
  <c r="AB67" i="4" s="1"/>
  <c r="Y8" i="4"/>
  <c r="Z28" i="4"/>
  <c r="AB28" i="4" s="1"/>
  <c r="Y69" i="4"/>
  <c r="AB69" i="4" s="1"/>
  <c r="Z37" i="4"/>
  <c r="AB37" i="4" s="1"/>
  <c r="Y51" i="4"/>
  <c r="Z15" i="4"/>
  <c r="Z17" i="4"/>
  <c r="Z19" i="4"/>
  <c r="C36" i="10"/>
  <c r="C30" i="10"/>
  <c r="C44" i="10"/>
  <c r="C29" i="10"/>
  <c r="H16" i="10" s="1"/>
  <c r="J16" i="10" s="1"/>
  <c r="C47" i="10"/>
  <c r="C41" i="10"/>
  <c r="C38" i="10"/>
  <c r="C35" i="10"/>
  <c r="C46" i="10"/>
  <c r="C43" i="10"/>
  <c r="C40" i="10"/>
  <c r="C34" i="10"/>
  <c r="C37" i="10"/>
  <c r="C33" i="10"/>
  <c r="C45" i="10"/>
  <c r="C32" i="10"/>
  <c r="C42" i="10"/>
  <c r="C39" i="10"/>
  <c r="C31" i="10"/>
  <c r="T50" i="4"/>
  <c r="T77" i="4"/>
  <c r="AB77" i="4"/>
  <c r="P24" i="4"/>
  <c r="P47" i="4"/>
  <c r="H14" i="2"/>
  <c r="J14" i="2" s="1"/>
  <c r="H16" i="2"/>
  <c r="J16" i="2" s="1"/>
  <c r="P9" i="4"/>
  <c r="T34" i="4"/>
  <c r="H29" i="2"/>
  <c r="J29" i="2" s="1"/>
  <c r="H31" i="2"/>
  <c r="J31" i="2" s="1"/>
  <c r="H27" i="2"/>
  <c r="J27" i="2" s="1"/>
  <c r="H19" i="2"/>
  <c r="J19" i="2" s="1"/>
  <c r="H24" i="2"/>
  <c r="J24" i="2" s="1"/>
  <c r="H20" i="2"/>
  <c r="J20" i="2" s="1"/>
  <c r="H25" i="2"/>
  <c r="J25" i="2" s="1"/>
  <c r="AB38" i="4"/>
  <c r="H21" i="2"/>
  <c r="J21" i="2" s="1"/>
  <c r="H22" i="2"/>
  <c r="H10" i="2"/>
  <c r="J10" i="2" s="1"/>
  <c r="H11" i="2"/>
  <c r="J11" i="2" s="1"/>
  <c r="H3" i="2"/>
  <c r="J3" i="2" s="1"/>
  <c r="H8" i="2"/>
  <c r="J8" i="2" s="1"/>
  <c r="AB31" i="4"/>
  <c r="T18" i="4"/>
  <c r="T28" i="4"/>
  <c r="T22" i="4"/>
  <c r="T33" i="4"/>
  <c r="AB79" i="4"/>
  <c r="AB83" i="4"/>
  <c r="AB33" i="4"/>
  <c r="T9" i="4"/>
  <c r="AB11" i="4"/>
  <c r="T14" i="4"/>
  <c r="T7" i="4"/>
  <c r="AB9" i="4"/>
  <c r="T6" i="4"/>
  <c r="T49" i="4"/>
  <c r="T8" i="4"/>
  <c r="AB78" i="4"/>
  <c r="T24" i="4"/>
  <c r="T5" i="4"/>
  <c r="P71" i="4"/>
  <c r="AB71" i="4"/>
  <c r="P10" i="4"/>
  <c r="AB75" i="4"/>
  <c r="C49" i="8"/>
  <c r="C43" i="8"/>
  <c r="C57" i="8"/>
  <c r="C42" i="8"/>
  <c r="C60" i="8"/>
  <c r="C54" i="8"/>
  <c r="C51" i="8"/>
  <c r="C48" i="8"/>
  <c r="C59" i="8"/>
  <c r="C56" i="8"/>
  <c r="C53" i="8"/>
  <c r="C47" i="8"/>
  <c r="C50" i="8"/>
  <c r="C46" i="8"/>
  <c r="C58" i="8"/>
  <c r="C45" i="8"/>
  <c r="C55" i="8"/>
  <c r="C52" i="8"/>
  <c r="C44" i="8"/>
  <c r="H9" i="6"/>
  <c r="H11" i="6"/>
  <c r="J11" i="6" s="1"/>
  <c r="P76" i="4"/>
  <c r="AB76" i="4"/>
  <c r="AB45" i="4"/>
  <c r="P30" i="4"/>
  <c r="P73" i="4"/>
  <c r="P70" i="4"/>
  <c r="C59" i="6"/>
  <c r="C60" i="6"/>
  <c r="P11" i="4"/>
  <c r="C66" i="6"/>
  <c r="C69" i="6"/>
  <c r="C67" i="6"/>
  <c r="C61" i="6"/>
  <c r="C68" i="6"/>
  <c r="C58" i="6"/>
  <c r="C65" i="6"/>
  <c r="H15" i="6" s="1"/>
  <c r="C55" i="6"/>
  <c r="C62" i="6"/>
  <c r="C56" i="6"/>
  <c r="C57" i="6"/>
  <c r="C64" i="6"/>
  <c r="C70" i="6"/>
  <c r="C73" i="6"/>
  <c r="H3" i="6" s="1"/>
  <c r="J3" i="6" s="1"/>
  <c r="C72" i="6"/>
  <c r="C71" i="6"/>
  <c r="P6" i="4"/>
  <c r="P25" i="4"/>
  <c r="P12" i="4"/>
  <c r="P15" i="4"/>
  <c r="P34" i="4"/>
  <c r="AB48" i="4"/>
  <c r="AB72" i="4"/>
  <c r="AB73" i="4"/>
  <c r="AB30" i="4"/>
  <c r="AB74" i="4"/>
  <c r="AB47" i="4"/>
  <c r="AB70" i="4"/>
  <c r="AB68" i="4"/>
  <c r="AB66" i="4"/>
  <c r="AB49" i="4"/>
  <c r="AB12" i="4"/>
  <c r="AB27" i="4"/>
  <c r="AB42" i="4"/>
  <c r="H7" i="3"/>
  <c r="H3" i="3"/>
  <c r="J3" i="3" s="1"/>
  <c r="H4" i="3"/>
  <c r="J4" i="3" s="1"/>
  <c r="H19" i="3"/>
  <c r="J19" i="3" s="1"/>
  <c r="H18" i="3"/>
  <c r="J18" i="3" s="1"/>
  <c r="H28" i="3"/>
  <c r="J28" i="3" s="1"/>
  <c r="H5" i="3"/>
  <c r="J5" i="3" s="1"/>
  <c r="H6" i="3"/>
  <c r="J6" i="3" s="1"/>
  <c r="H9" i="3"/>
  <c r="J9" i="3" s="1"/>
  <c r="H11" i="3"/>
  <c r="J11" i="3" s="1"/>
  <c r="H12" i="3"/>
  <c r="J12" i="3" s="1"/>
  <c r="H13" i="3"/>
  <c r="J13" i="3" s="1"/>
  <c r="H17" i="3"/>
  <c r="J17" i="3" s="1"/>
  <c r="H16" i="3"/>
  <c r="J16" i="3" s="1"/>
  <c r="H8" i="3"/>
  <c r="J8" i="3" s="1"/>
  <c r="H10" i="3"/>
  <c r="J10" i="3" s="1"/>
  <c r="H21" i="3"/>
  <c r="J21" i="3" s="1"/>
  <c r="H29" i="3"/>
  <c r="J29" i="3" s="1"/>
  <c r="H22" i="3"/>
  <c r="J22" i="3" s="1"/>
  <c r="H20" i="3"/>
  <c r="J20" i="3" s="1"/>
  <c r="J15" i="3"/>
  <c r="J14" i="3"/>
  <c r="J7" i="3"/>
  <c r="J4" i="2"/>
  <c r="J6" i="2"/>
  <c r="J15" i="2"/>
  <c r="J5" i="2"/>
  <c r="J9" i="2"/>
  <c r="J7" i="2"/>
  <c r="J12" i="2"/>
  <c r="J22" i="2"/>
  <c r="H22" i="10" l="1"/>
  <c r="J22" i="10" s="1"/>
  <c r="H23" i="10"/>
  <c r="J23" i="10" s="1"/>
  <c r="H21" i="10"/>
  <c r="J21" i="10" s="1"/>
  <c r="H13" i="10"/>
  <c r="J13" i="10" s="1"/>
  <c r="H3" i="10"/>
  <c r="J3" i="10" s="1"/>
  <c r="Q25" i="9"/>
  <c r="AB15" i="4"/>
  <c r="H14" i="10"/>
  <c r="J14" i="10" s="1"/>
  <c r="H8" i="10"/>
  <c r="J8" i="10" s="1"/>
  <c r="H19" i="10"/>
  <c r="J19" i="10" s="1"/>
  <c r="H15" i="10"/>
  <c r="J15" i="10" s="1"/>
  <c r="H20" i="10"/>
  <c r="J20" i="10" s="1"/>
  <c r="H6" i="10"/>
  <c r="J6" i="10" s="1"/>
  <c r="Y85" i="4"/>
  <c r="H9" i="10"/>
  <c r="J9" i="10" s="1"/>
  <c r="H12" i="10"/>
  <c r="J12" i="10" s="1"/>
  <c r="H5" i="10"/>
  <c r="J5" i="10" s="1"/>
  <c r="H17" i="10"/>
  <c r="J17" i="10" s="1"/>
  <c r="H7" i="10"/>
  <c r="J7" i="10" s="1"/>
  <c r="H10" i="10"/>
  <c r="J10" i="10" s="1"/>
  <c r="H11" i="10"/>
  <c r="J11" i="10" s="1"/>
  <c r="H18" i="10"/>
  <c r="J18" i="10" s="1"/>
  <c r="H24" i="10"/>
  <c r="J24" i="10" s="1"/>
  <c r="H4" i="10"/>
  <c r="J4" i="10" s="1"/>
  <c r="H23" i="8"/>
  <c r="J23" i="8" s="1"/>
  <c r="H35" i="8"/>
  <c r="J35" i="8" s="1"/>
  <c r="H31" i="8"/>
  <c r="J31" i="8" s="1"/>
  <c r="H33" i="8"/>
  <c r="J33" i="8" s="1"/>
  <c r="AB34" i="4"/>
  <c r="AB5" i="4"/>
  <c r="H28" i="8"/>
  <c r="J28" i="8" s="1"/>
  <c r="H36" i="8"/>
  <c r="J36" i="8" s="1"/>
  <c r="H14" i="8"/>
  <c r="J14" i="8" s="1"/>
  <c r="H22" i="8"/>
  <c r="J22" i="8" s="1"/>
  <c r="H5" i="8"/>
  <c r="J5" i="8" s="1"/>
  <c r="H26" i="8"/>
  <c r="J26" i="8" s="1"/>
  <c r="H15" i="8"/>
  <c r="J15" i="8" s="1"/>
  <c r="H30" i="8"/>
  <c r="J30" i="8" s="1"/>
  <c r="H25" i="8"/>
  <c r="J25" i="8" s="1"/>
  <c r="H11" i="8"/>
  <c r="J11" i="8" s="1"/>
  <c r="H34" i="8"/>
  <c r="J34" i="8" s="1"/>
  <c r="H19" i="8"/>
  <c r="J19" i="8" s="1"/>
  <c r="H27" i="8"/>
  <c r="J27" i="8" s="1"/>
  <c r="H9" i="8"/>
  <c r="J9" i="8" s="1"/>
  <c r="H21" i="8"/>
  <c r="J21" i="8" s="1"/>
  <c r="H20" i="8"/>
  <c r="J20" i="8" s="1"/>
  <c r="AB6" i="4"/>
  <c r="H10" i="8"/>
  <c r="J10" i="8" s="1"/>
  <c r="H7" i="8"/>
  <c r="J7" i="8" s="1"/>
  <c r="H17" i="8"/>
  <c r="J17" i="8" s="1"/>
  <c r="H16" i="8"/>
  <c r="J16" i="8" s="1"/>
  <c r="H13" i="8"/>
  <c r="J13" i="8" s="1"/>
  <c r="H3" i="8"/>
  <c r="J3" i="8" s="1"/>
  <c r="H4" i="8"/>
  <c r="J4" i="8" s="1"/>
  <c r="H24" i="8"/>
  <c r="J24" i="8" s="1"/>
  <c r="H32" i="8"/>
  <c r="J32" i="8" s="1"/>
  <c r="H12" i="8"/>
  <c r="J12" i="8" s="1"/>
  <c r="H18" i="8"/>
  <c r="J18" i="8" s="1"/>
  <c r="H8" i="8"/>
  <c r="J8" i="8" s="1"/>
  <c r="H37" i="8"/>
  <c r="J37" i="8" s="1"/>
  <c r="H29" i="8"/>
  <c r="J29" i="8" s="1"/>
  <c r="H6" i="8"/>
  <c r="J6" i="8" s="1"/>
  <c r="H21" i="6"/>
  <c r="H18" i="6"/>
  <c r="J18" i="6" s="1"/>
  <c r="H22" i="6"/>
  <c r="H44" i="6"/>
  <c r="J44" i="6" s="1"/>
  <c r="H14" i="6"/>
  <c r="J14" i="6" s="1"/>
  <c r="H16" i="6"/>
  <c r="J16" i="6" s="1"/>
  <c r="H7" i="6"/>
  <c r="J7" i="6" s="1"/>
  <c r="H35" i="6"/>
  <c r="J35" i="6" s="1"/>
  <c r="H25" i="6"/>
  <c r="H32" i="6"/>
  <c r="J32" i="6" s="1"/>
  <c r="H34" i="6"/>
  <c r="H37" i="6"/>
  <c r="J37" i="6" s="1"/>
  <c r="H20" i="6"/>
  <c r="J20" i="6" s="1"/>
  <c r="H26" i="6"/>
  <c r="J26" i="6" s="1"/>
  <c r="H36" i="6"/>
  <c r="J36" i="6" s="1"/>
  <c r="H43" i="6"/>
  <c r="H38" i="6"/>
  <c r="J38" i="6" s="1"/>
  <c r="H27" i="6"/>
  <c r="J27" i="6" s="1"/>
  <c r="H46" i="6"/>
  <c r="J46" i="6" s="1"/>
  <c r="H24" i="6"/>
  <c r="J24" i="6" s="1"/>
  <c r="H42" i="6"/>
  <c r="J42" i="6" s="1"/>
  <c r="H45" i="6"/>
  <c r="J45" i="6" s="1"/>
  <c r="H30" i="6"/>
  <c r="J30" i="6" s="1"/>
  <c r="H31" i="6"/>
  <c r="H50" i="6"/>
  <c r="J50" i="6" s="1"/>
  <c r="H40" i="6"/>
  <c r="J40" i="6" s="1"/>
  <c r="H41" i="6"/>
  <c r="J41" i="6" s="1"/>
  <c r="H29" i="6"/>
  <c r="J29" i="6" s="1"/>
  <c r="H48" i="6"/>
  <c r="H49" i="6"/>
  <c r="J49" i="6" s="1"/>
  <c r="H39" i="6"/>
  <c r="H28" i="6"/>
  <c r="J28" i="6" s="1"/>
  <c r="H47" i="6"/>
  <c r="H33" i="6"/>
  <c r="J33" i="6" s="1"/>
  <c r="H6" i="6"/>
  <c r="J6" i="6" s="1"/>
  <c r="H5" i="6"/>
  <c r="J5" i="6" s="1"/>
  <c r="J12" i="6"/>
  <c r="H19" i="6"/>
  <c r="H12" i="6"/>
  <c r="H23" i="6"/>
  <c r="J23" i="6" s="1"/>
  <c r="H17" i="6"/>
  <c r="H4" i="6"/>
  <c r="J4" i="6" s="1"/>
  <c r="H13" i="6"/>
  <c r="J13" i="6" s="1"/>
  <c r="H10" i="6"/>
  <c r="J10" i="6" s="1"/>
  <c r="J22" i="6"/>
  <c r="J15" i="6"/>
  <c r="J8" i="6"/>
  <c r="J48" i="6"/>
  <c r="J9" i="6"/>
  <c r="J39" i="6"/>
  <c r="J34" i="6"/>
  <c r="J21" i="6"/>
  <c r="J31" i="6"/>
  <c r="J25" i="6"/>
  <c r="J17" i="6"/>
  <c r="J47" i="6"/>
  <c r="J19" i="6"/>
  <c r="J43" i="6"/>
  <c r="AB17" i="4"/>
  <c r="AB50" i="4"/>
  <c r="AB43" i="4"/>
  <c r="AB64" i="4"/>
  <c r="AB51" i="4"/>
  <c r="AB18" i="4"/>
  <c r="AB46" i="4"/>
  <c r="AB26" i="4"/>
  <c r="AB58" i="4"/>
  <c r="AB21" i="4"/>
  <c r="AB29" i="4"/>
  <c r="AB14" i="4"/>
  <c r="AB61" i="4"/>
  <c r="AB59" i="4"/>
  <c r="AB55" i="4"/>
  <c r="AB32" i="4"/>
  <c r="AB36" i="4"/>
  <c r="AB8" i="4"/>
  <c r="AB41" i="4"/>
  <c r="AB7" i="4"/>
  <c r="AB24" i="4"/>
  <c r="AB52" i="4"/>
  <c r="AB13" i="4"/>
  <c r="AB57" i="4"/>
  <c r="AB53" i="4"/>
  <c r="AB60" i="4"/>
  <c r="AB54" i="4"/>
  <c r="AB63" i="4"/>
  <c r="AB19" i="4"/>
  <c r="AB10" i="4"/>
  <c r="AB40" i="4"/>
  <c r="AB16" i="4"/>
  <c r="AB39" i="4"/>
  <c r="AB44" i="4"/>
  <c r="AB23" i="4"/>
  <c r="AB25" i="4"/>
  <c r="AB22" i="4"/>
  <c r="AB62" i="4"/>
  <c r="AB56" i="4"/>
  <c r="AB65" i="4"/>
  <c r="AB20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<sst xmlns="http://schemas.openxmlformats.org/spreadsheetml/2006/main" count="1961" uniqueCount="326">
  <si>
    <t>Jogadores</t>
  </si>
  <si>
    <t>Jogos</t>
  </si>
  <si>
    <t>Vitórias</t>
  </si>
  <si>
    <t>Win Rate</t>
  </si>
  <si>
    <t>Xico Santos</t>
  </si>
  <si>
    <t>Quim</t>
  </si>
  <si>
    <t>Campos</t>
  </si>
  <si>
    <t>Vieira</t>
  </si>
  <si>
    <t>Capela</t>
  </si>
  <si>
    <t>Tigas</t>
  </si>
  <si>
    <t>Edu</t>
  </si>
  <si>
    <t>L</t>
  </si>
  <si>
    <t>W</t>
  </si>
  <si>
    <t>Zé Miguel</t>
  </si>
  <si>
    <t>Streak de vitórias atual</t>
  </si>
  <si>
    <t>Maior streak de vitórias</t>
  </si>
  <si>
    <t>Maior streak de derrotas</t>
  </si>
  <si>
    <t>Derrotas</t>
  </si>
  <si>
    <t>Numero de semanas</t>
  </si>
  <si>
    <t>Fator</t>
  </si>
  <si>
    <t>Ranking</t>
  </si>
  <si>
    <t>Média ponderada</t>
  </si>
  <si>
    <t>Média base</t>
  </si>
  <si>
    <t>Bruno Silva</t>
  </si>
  <si>
    <t>Streak de derrotas atual</t>
  </si>
  <si>
    <t>Jorginho</t>
  </si>
  <si>
    <t>Guilherme Moura</t>
  </si>
  <si>
    <t>Ricardo Nunes</t>
  </si>
  <si>
    <t>Peliteiro</t>
  </si>
  <si>
    <t>Dimas</t>
  </si>
  <si>
    <t>Bruno Antunes</t>
  </si>
  <si>
    <t>Rui Vaz</t>
  </si>
  <si>
    <t>Pedro Miranda</t>
  </si>
  <si>
    <t>Filipe Sá</t>
  </si>
  <si>
    <t>Trator</t>
  </si>
  <si>
    <t>António Moreira</t>
  </si>
  <si>
    <t>Insua</t>
  </si>
  <si>
    <t>Renato Pereira</t>
  </si>
  <si>
    <t>João Órfão</t>
  </si>
  <si>
    <t>Xico Sant.</t>
  </si>
  <si>
    <t>Gui M.</t>
  </si>
  <si>
    <t>Porto vs Resto</t>
  </si>
  <si>
    <t>Capela vs Quim</t>
  </si>
  <si>
    <t>Capela vs Xico Santos</t>
  </si>
  <si>
    <t>Campos vs Tigas</t>
  </si>
  <si>
    <t>Vieira vs Zé Miguel</t>
  </si>
  <si>
    <t>Edu vs Dimas</t>
  </si>
  <si>
    <t>Campos vs Quim</t>
  </si>
  <si>
    <t>Vieira vs Campos</t>
  </si>
  <si>
    <t>Capela vs Edu</t>
  </si>
  <si>
    <t>18/mar e 13/mai</t>
  </si>
  <si>
    <t>Capela vs Vieira</t>
  </si>
  <si>
    <t>Sugestão Gui</t>
  </si>
  <si>
    <t>Capela vs Gui</t>
  </si>
  <si>
    <t>Sugestão Capela</t>
  </si>
  <si>
    <t>Xico S. vs Vieira</t>
  </si>
  <si>
    <t>Edu vs Quim</t>
  </si>
  <si>
    <t>Rúben Costa</t>
  </si>
  <si>
    <t>Dimas vs Zé Miguel</t>
  </si>
  <si>
    <t>Xico S.</t>
  </si>
  <si>
    <t>Presenças</t>
  </si>
  <si>
    <t>Top10</t>
  </si>
  <si>
    <t>Restantes</t>
  </si>
  <si>
    <t>Nome</t>
  </si>
  <si>
    <t>Dipi</t>
  </si>
  <si>
    <t>Miranda</t>
  </si>
  <si>
    <t>Bruno S.</t>
  </si>
  <si>
    <t>Órfão</t>
  </si>
  <si>
    <t>Bolinha</t>
  </si>
  <si>
    <t>Ricardo N.</t>
  </si>
  <si>
    <t>António M.</t>
  </si>
  <si>
    <t>Bruno A.</t>
  </si>
  <si>
    <t>Mike</t>
  </si>
  <si>
    <t>Renato P.</t>
  </si>
  <si>
    <t>Rúben C.</t>
  </si>
  <si>
    <t>Cona Torta</t>
  </si>
  <si>
    <t>Peixe</t>
  </si>
  <si>
    <t>Quim vs Tigas</t>
  </si>
  <si>
    <t>Dimas vs Xico Santos</t>
  </si>
  <si>
    <t>João S.</t>
  </si>
  <si>
    <t>Capela vs Jorginho</t>
  </si>
  <si>
    <t>Mini</t>
  </si>
  <si>
    <t>Slim</t>
  </si>
  <si>
    <t>Vieira vs Xico Santos</t>
  </si>
  <si>
    <t>A. Vieira vs A. Capela</t>
  </si>
  <si>
    <t>Vieira vs Capela</t>
  </si>
  <si>
    <t>Macedo</t>
  </si>
  <si>
    <t>Guilherme Macedo</t>
  </si>
  <si>
    <t>Diogo Duarte</t>
  </si>
  <si>
    <t>João Santos</t>
  </si>
  <si>
    <t>Francisco Campos</t>
  </si>
  <si>
    <t>João Capela</t>
  </si>
  <si>
    <t>Miranda Sr.</t>
  </si>
  <si>
    <t>Ricardo Miranda</t>
  </si>
  <si>
    <t>Pedro Vieira</t>
  </si>
  <si>
    <t>Francisco Santos</t>
  </si>
  <si>
    <t>Alcunha</t>
  </si>
  <si>
    <t>João Silva</t>
  </si>
  <si>
    <t>Alex</t>
  </si>
  <si>
    <t>Rodrigo Silva</t>
  </si>
  <si>
    <t>Rodrigo</t>
  </si>
  <si>
    <t>Rui Dimas</t>
  </si>
  <si>
    <t>Bruno</t>
  </si>
  <si>
    <t>Filipe Gomes</t>
  </si>
  <si>
    <t>Raul Trocado</t>
  </si>
  <si>
    <t>Tiago Lima</t>
  </si>
  <si>
    <t>Lima</t>
  </si>
  <si>
    <t>Trocado</t>
  </si>
  <si>
    <t>João Cruz</t>
  </si>
  <si>
    <t>Cruz</t>
  </si>
  <si>
    <t>Simão Mendes</t>
  </si>
  <si>
    <t>Simão</t>
  </si>
  <si>
    <t>Vieira fez as equipas</t>
  </si>
  <si>
    <t>Fernando</t>
  </si>
  <si>
    <t>Nando</t>
  </si>
  <si>
    <t>Vieira vs Alex</t>
  </si>
  <si>
    <t>Joaquim Torrão</t>
  </si>
  <si>
    <t>Rodri</t>
  </si>
  <si>
    <t>Rodri vs Campos</t>
  </si>
  <si>
    <t>José Miguel Ferreira</t>
  </si>
  <si>
    <t>Diogo Azevedo</t>
  </si>
  <si>
    <t>Eduardo Maia</t>
  </si>
  <si>
    <t>Gui Moura</t>
  </si>
  <si>
    <t>André Amorim</t>
  </si>
  <si>
    <t>Nunes</t>
  </si>
  <si>
    <t>Toni</t>
  </si>
  <si>
    <t>Dinis Pontes</t>
  </si>
  <si>
    <t>Tiago Filipe</t>
  </si>
  <si>
    <t>Nuno Peliteiro</t>
  </si>
  <si>
    <t>Peli</t>
  </si>
  <si>
    <t>Antunes</t>
  </si>
  <si>
    <t>Miguel Pacheco</t>
  </si>
  <si>
    <t>Sá</t>
  </si>
  <si>
    <t>Renato</t>
  </si>
  <si>
    <t>Rúben</t>
  </si>
  <si>
    <t>João Ramos</t>
  </si>
  <si>
    <t>Alexandre Silva</t>
  </si>
  <si>
    <t>Dimas vs Quim</t>
  </si>
  <si>
    <t>TOTAL</t>
  </si>
  <si>
    <t>Ranking por</t>
  </si>
  <si>
    <t>Summer Season (18/03 a 29/07)</t>
  </si>
  <si>
    <t>Francisco Sá</t>
  </si>
  <si>
    <t>Xico Sá</t>
  </si>
  <si>
    <t>Capela vs Rodri</t>
  </si>
  <si>
    <t>Jogos T</t>
  </si>
  <si>
    <t>Daniel Marafona</t>
  </si>
  <si>
    <t>Mara</t>
  </si>
  <si>
    <t>Xico Santos vs Simão</t>
  </si>
  <si>
    <t>Alex vs Campos</t>
  </si>
  <si>
    <t>Francisco Fonte</t>
  </si>
  <si>
    <t>Fonte</t>
  </si>
  <si>
    <t>Vieira vs Jorginho</t>
  </si>
  <si>
    <t>André Ferreira</t>
  </si>
  <si>
    <t>Ferreira</t>
  </si>
  <si>
    <t>Paralelo</t>
  </si>
  <si>
    <t>José Costa</t>
  </si>
  <si>
    <t>Alex vs Simão</t>
  </si>
  <si>
    <t>Rodri vs Xico Santos</t>
  </si>
  <si>
    <t>Diogo Souto</t>
  </si>
  <si>
    <t>Souto</t>
  </si>
  <si>
    <t>Simão vs Campos</t>
  </si>
  <si>
    <t>Vieira vs Rui Vaz</t>
  </si>
  <si>
    <t>Francisco Silva</t>
  </si>
  <si>
    <t>Xico Silva</t>
  </si>
  <si>
    <t>Bruno Maia</t>
  </si>
  <si>
    <t>Maia</t>
  </si>
  <si>
    <t>A. Gui vs Resto</t>
  </si>
  <si>
    <t>Quim vs Alex</t>
  </si>
  <si>
    <t>Mãos vs Trofense</t>
  </si>
  <si>
    <t>Retorta League (18/03/2024 a 29/07/2024)</t>
  </si>
  <si>
    <t>Rosa</t>
  </si>
  <si>
    <t>21/out e 28/jan</t>
  </si>
  <si>
    <t>Simão, Vieira, Jorginho e Insua</t>
  </si>
  <si>
    <t>Winter Season (05/09 a 28/01)</t>
  </si>
  <si>
    <t>Retorta League (desde 18/03/2024)</t>
  </si>
  <si>
    <t>António Amorim</t>
  </si>
  <si>
    <t>Leonardo Domingos</t>
  </si>
  <si>
    <t>Leo</t>
  </si>
  <si>
    <t>Mãos+Zé Miguel vs Resto</t>
  </si>
  <si>
    <t>Toni Moreira</t>
  </si>
  <si>
    <t>Diogo Castro</t>
  </si>
  <si>
    <t>Castro</t>
  </si>
  <si>
    <t>Pedro Oliveira</t>
  </si>
  <si>
    <t>Pirussas</t>
  </si>
  <si>
    <t>Dipi vs Simão</t>
  </si>
  <si>
    <t>Adriano Pereira</t>
  </si>
  <si>
    <t>Adri</t>
  </si>
  <si>
    <t>Campos vs Alex</t>
  </si>
  <si>
    <t>Gonçalo Azevedo</t>
  </si>
  <si>
    <t>Gonçalo</t>
  </si>
  <si>
    <t>Tiago Capela</t>
  </si>
  <si>
    <t>Capela Jr</t>
  </si>
  <si>
    <t>Luís Guimarães</t>
  </si>
  <si>
    <t>Guimarães</t>
  </si>
  <si>
    <t>Pedro Gomes</t>
  </si>
  <si>
    <t>Jonas</t>
  </si>
  <si>
    <t>Gui vs Quim</t>
  </si>
  <si>
    <t>Mãos+Campos vs Resto</t>
  </si>
  <si>
    <t>Campos vs Renato</t>
  </si>
  <si>
    <t>Paulo Ferreira</t>
  </si>
  <si>
    <t>Paulo</t>
  </si>
  <si>
    <t>Mãos + Insua vs Resto</t>
  </si>
  <si>
    <t>Capela vs Rosa</t>
  </si>
  <si>
    <t>Hélder Morim</t>
  </si>
  <si>
    <t>Morim</t>
  </si>
  <si>
    <t>Abel Folha</t>
  </si>
  <si>
    <t>Folha</t>
  </si>
  <si>
    <t>António Pinto</t>
  </si>
  <si>
    <t>Pinto</t>
  </si>
  <si>
    <t>Quim vs Gui</t>
  </si>
  <si>
    <t>31/mar e 7/abr e 26/mai</t>
  </si>
  <si>
    <t>Summer Season 2ed (06/03 a 07/07)</t>
  </si>
  <si>
    <t>José Domingos</t>
  </si>
  <si>
    <t>Zé Domingos</t>
  </si>
  <si>
    <t>Jó Silva</t>
  </si>
  <si>
    <t>Jó</t>
  </si>
  <si>
    <t>Leandro Terroso</t>
  </si>
  <si>
    <t>Zé Li</t>
  </si>
  <si>
    <t>Gonças</t>
  </si>
  <si>
    <t>Bruno Cunha</t>
  </si>
  <si>
    <t>13/03/2025 e 05/06/2025 e 11/06/2025 e 16/06/2025 e 26/06/2025</t>
  </si>
  <si>
    <t>12 e 19/maio e 30/junho</t>
  </si>
  <si>
    <t>Diogo Moreira</t>
  </si>
  <si>
    <t>Moreira</t>
  </si>
  <si>
    <t>Gonçalo Fernandes</t>
  </si>
  <si>
    <t>Xavier Oliveira</t>
  </si>
  <si>
    <t>Xavi</t>
  </si>
  <si>
    <t>Retorta League WS (05/09/2024 a 28/01/2025)</t>
  </si>
  <si>
    <t>Retorta League SS 2ed (06/03/2025 a 07/07/2025)</t>
  </si>
  <si>
    <t>Trator vs Órfão</t>
  </si>
  <si>
    <t>Souto, Quim e Vieira</t>
  </si>
  <si>
    <t>João Alex Silva</t>
  </si>
  <si>
    <t>Ricardo Campos</t>
  </si>
  <si>
    <t>Retorta League SS 2ed (08/09/2025 a 19/01/2026)</t>
  </si>
  <si>
    <t>Vieira x Campos</t>
  </si>
  <si>
    <t>Winter Season 2ed (08/09 a 19/01)</t>
  </si>
  <si>
    <t>Capela x Alex</t>
  </si>
  <si>
    <t>Alex x Gui Moura</t>
  </si>
  <si>
    <t>Campos x Quim</t>
  </si>
  <si>
    <t>Alex x Renato</t>
  </si>
  <si>
    <t>Capela x Vieira</t>
  </si>
  <si>
    <t>Gui Moura x Vieira</t>
  </si>
  <si>
    <t>Campos x Capela</t>
  </si>
  <si>
    <t>WR a C</t>
  </si>
  <si>
    <t>Gui Moura x Quim</t>
  </si>
  <si>
    <t>Quim x Capela</t>
  </si>
  <si>
    <t>Gui Moura x Campos</t>
  </si>
  <si>
    <t>Quim x Renato</t>
  </si>
  <si>
    <t xml:space="preserve"> </t>
  </si>
  <si>
    <t>Diogo Canito</t>
  </si>
  <si>
    <t>Canito</t>
  </si>
  <si>
    <t>Carlos Sousa</t>
  </si>
  <si>
    <t>Carlinhos</t>
  </si>
  <si>
    <t>Rodrigo Lima</t>
  </si>
  <si>
    <t>Rodri Lima</t>
  </si>
  <si>
    <t>Notas</t>
  </si>
  <si>
    <t>Renato x Edu</t>
  </si>
  <si>
    <t>Edu x Capela</t>
  </si>
  <si>
    <t>Alex x Edu</t>
  </si>
  <si>
    <t>Edu x Gui Moura</t>
  </si>
  <si>
    <t>0.2-0.4</t>
  </si>
  <si>
    <t>0.4-0.6</t>
  </si>
  <si>
    <t>0.6-0.8</t>
  </si>
  <si>
    <t>0.8-1.0</t>
  </si>
  <si>
    <t>0.0-0.2</t>
  </si>
  <si>
    <t>Anke</t>
  </si>
  <si>
    <t>Campos x Edu</t>
  </si>
  <si>
    <t>Tiago Cabreira</t>
  </si>
  <si>
    <t>Cabreira</t>
  </si>
  <si>
    <t>CHECK</t>
  </si>
  <si>
    <t>Só consegue às 2fs</t>
  </si>
  <si>
    <t>Trabalho</t>
  </si>
  <si>
    <t>Aulas</t>
  </si>
  <si>
    <t>Treinos Eslováquia</t>
  </si>
  <si>
    <t>Treinos Roménia</t>
  </si>
  <si>
    <t>Faltam</t>
  </si>
  <si>
    <t>Renato x Quim</t>
  </si>
  <si>
    <t>Marco Miguel</t>
  </si>
  <si>
    <t>Marquinho</t>
  </si>
  <si>
    <t>Vieira x Edu</t>
  </si>
  <si>
    <t>Canito, Quim e Raul</t>
  </si>
  <si>
    <t>Canito e Raul</t>
  </si>
  <si>
    <t>Calendário</t>
  </si>
  <si>
    <t>Jornada 1</t>
  </si>
  <si>
    <t>Jornada 2</t>
  </si>
  <si>
    <t>Jornada 3</t>
  </si>
  <si>
    <t>Jornada 4</t>
  </si>
  <si>
    <t>Jornada 5</t>
  </si>
  <si>
    <t>Jornada 6</t>
  </si>
  <si>
    <t>Jornada 7</t>
  </si>
  <si>
    <t>Jornada 8</t>
  </si>
  <si>
    <t>Jornada 9</t>
  </si>
  <si>
    <t>Jornada 10</t>
  </si>
  <si>
    <t>Jornada 11</t>
  </si>
  <si>
    <t>Jornada 12</t>
  </si>
  <si>
    <t>Jornada 13</t>
  </si>
  <si>
    <t>Jornada 14</t>
  </si>
  <si>
    <t>Jornada 15</t>
  </si>
  <si>
    <t>Jornada 16</t>
  </si>
  <si>
    <t>Jornada 17</t>
  </si>
  <si>
    <t>Jornada 18</t>
  </si>
  <si>
    <t>Jornada 19</t>
  </si>
  <si>
    <t>Final da Taça</t>
  </si>
  <si>
    <t>Torneio de Verão</t>
  </si>
  <si>
    <t>Supertaça</t>
  </si>
  <si>
    <t>Luxemburgo até ao fim do ano</t>
  </si>
  <si>
    <t>?</t>
  </si>
  <si>
    <t>Retorta League SS 3ed (10/03/2026 a 14/07/2026)</t>
  </si>
  <si>
    <t>Summer Season 3ed (10/03 a 14/07)</t>
  </si>
  <si>
    <t>Martim Pereira</t>
  </si>
  <si>
    <t>Martim</t>
  </si>
  <si>
    <t>Gonçalo Silva</t>
  </si>
  <si>
    <t>Road to Cup</t>
  </si>
  <si>
    <t>Capitães</t>
  </si>
  <si>
    <t>W a C</t>
  </si>
  <si>
    <t>G a C</t>
  </si>
  <si>
    <t>Ranking Campeonato</t>
  </si>
  <si>
    <t>Posição</t>
  </si>
  <si>
    <t>Jorge Rajão</t>
  </si>
  <si>
    <t>Rajão</t>
  </si>
  <si>
    <t>2 a seguir</t>
  </si>
  <si>
    <t>First pick</t>
  </si>
  <si>
    <t>Lesionado</t>
  </si>
  <si>
    <t>China em junho</t>
  </si>
  <si>
    <t>Vítor Leite</t>
  </si>
  <si>
    <t>Vítor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</si>
</sst>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[$-816]d/mmm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2">
    <xf numFmtId="0" fontId="0" fillId="0" borderId="0" xfId="0"/>
    <xf numFmtId="9" fontId="0" fillId="0" borderId="0" xfId="1" applyFont="1"/>
    <xf numFmtId="16" fontId="0" fillId="0" borderId="0" xfId="0" applyNumberFormat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2" fontId="0" fillId="0" borderId="0" xfId="1" applyNumberFormat="1" applyFont="1"/>
    <xf numFmtId="2" fontId="0" fillId="4" borderId="0" xfId="1" applyNumberFormat="1" applyFont="1" applyFill="1"/>
    <xf numFmtId="2" fontId="0" fillId="2" borderId="0" xfId="1" applyNumberFormat="1" applyFont="1" applyFill="1"/>
    <xf numFmtId="164" fontId="0" fillId="3" borderId="1" xfId="0" applyNumberFormat="1" applyFill="1" applyBorder="1"/>
    <xf numFmtId="9" fontId="0" fillId="3" borderId="1" xfId="1" applyFont="1" applyFill="1" applyBorder="1"/>
    <xf numFmtId="0" fontId="0" fillId="0" borderId="1" xfId="0" applyBorder="1"/>
    <xf numFmtId="2" fontId="0" fillId="5" borderId="0" xfId="1" applyNumberFormat="1" applyFont="1" applyFill="1"/>
    <xf numFmtId="2" fontId="0" fillId="6" borderId="0" xfId="1" applyNumberFormat="1" applyFont="1" applyFill="1"/>
    <xf numFmtId="165" fontId="0" fillId="3" borderId="0" xfId="0" applyNumberFormat="1" applyFill="1"/>
    <xf numFmtId="165" fontId="0" fillId="0" borderId="0" xfId="0" applyNumberFormat="1"/>
    <xf numFmtId="165" fontId="0" fillId="2" borderId="0" xfId="0" applyNumberFormat="1" applyFill="1"/>
    <xf numFmtId="165" fontId="0" fillId="0" borderId="2" xfId="0" applyNumberFormat="1" applyBorder="1"/>
    <xf numFmtId="165" fontId="0" fillId="0" borderId="5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65" fontId="0" fillId="0" borderId="25" xfId="0" applyNumberFormat="1" applyBorder="1"/>
    <xf numFmtId="16" fontId="0" fillId="0" borderId="7" xfId="0" applyNumberFormat="1" applyBorder="1"/>
    <xf numFmtId="165" fontId="0" fillId="4" borderId="0" xfId="0" applyNumberFormat="1" applyFill="1"/>
    <xf numFmtId="16" fontId="0" fillId="4" borderId="5" xfId="0" applyNumberFormat="1" applyFill="1" applyBorder="1"/>
    <xf numFmtId="0" fontId="0" fillId="0" borderId="16" xfId="0" applyBorder="1"/>
    <xf numFmtId="16" fontId="0" fillId="0" borderId="5" xfId="0" applyNumberFormat="1" applyBorder="1"/>
    <xf numFmtId="165" fontId="0" fillId="4" borderId="5" xfId="0" applyNumberForma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29" xfId="0" applyBorder="1"/>
    <xf numFmtId="0" fontId="0" fillId="10" borderId="1" xfId="0" applyFill="1" applyBorder="1"/>
    <xf numFmtId="0" fontId="0" fillId="11" borderId="1" xfId="0" applyFill="1" applyBorder="1"/>
    <xf numFmtId="0" fontId="0" fillId="11" borderId="1" xfId="1" applyNumberFormat="1" applyFont="1" applyFill="1" applyBorder="1"/>
    <xf numFmtId="0" fontId="0" fillId="13" borderId="1" xfId="0" applyFill="1" applyBorder="1"/>
    <xf numFmtId="9" fontId="0" fillId="13" borderId="6" xfId="1" applyFont="1" applyFill="1" applyBorder="1"/>
    <xf numFmtId="0" fontId="0" fillId="10" borderId="8" xfId="0" applyFill="1" applyBorder="1"/>
    <xf numFmtId="0" fontId="0" fillId="11" borderId="8" xfId="0" applyFill="1" applyBorder="1"/>
    <xf numFmtId="0" fontId="0" fillId="11" borderId="8" xfId="1" applyNumberFormat="1" applyFont="1" applyFill="1" applyBorder="1"/>
    <xf numFmtId="0" fontId="0" fillId="13" borderId="8" xfId="0" applyFill="1" applyBorder="1"/>
    <xf numFmtId="9" fontId="0" fillId="13" borderId="9" xfId="1" applyFont="1" applyFill="1" applyBorder="1"/>
    <xf numFmtId="0" fontId="3" fillId="8" borderId="10" xfId="0" applyFont="1" applyFill="1" applyBorder="1"/>
    <xf numFmtId="0" fontId="3" fillId="8" borderId="11" xfId="0" applyFont="1" applyFill="1" applyBorder="1"/>
    <xf numFmtId="0" fontId="3" fillId="8" borderId="12" xfId="0" applyFont="1" applyFill="1" applyBorder="1"/>
    <xf numFmtId="0" fontId="3" fillId="9" borderId="10" xfId="0" applyFont="1" applyFill="1" applyBorder="1"/>
    <xf numFmtId="0" fontId="3" fillId="9" borderId="11" xfId="0" applyFont="1" applyFill="1" applyBorder="1"/>
    <xf numFmtId="0" fontId="3" fillId="9" borderId="12" xfId="0" applyFont="1" applyFill="1" applyBorder="1"/>
    <xf numFmtId="0" fontId="3" fillId="12" borderId="11" xfId="0" applyFont="1" applyFill="1" applyBorder="1"/>
    <xf numFmtId="0" fontId="3" fillId="12" borderId="12" xfId="0" applyFont="1" applyFill="1" applyBorder="1"/>
    <xf numFmtId="0" fontId="0" fillId="10" borderId="1" xfId="1" applyNumberFormat="1" applyFont="1" applyFill="1" applyBorder="1"/>
    <xf numFmtId="0" fontId="0" fillId="10" borderId="8" xfId="1" applyNumberFormat="1" applyFont="1" applyFill="1" applyBorder="1"/>
    <xf numFmtId="0" fontId="0" fillId="10" borderId="5" xfId="0" applyFill="1" applyBorder="1"/>
    <xf numFmtId="9" fontId="0" fillId="10" borderId="6" xfId="1" applyFont="1" applyFill="1" applyBorder="1"/>
    <xf numFmtId="0" fontId="0" fillId="10" borderId="7" xfId="0" applyFill="1" applyBorder="1"/>
    <xf numFmtId="9" fontId="0" fillId="10" borderId="9" xfId="1" applyFont="1" applyFill="1" applyBorder="1"/>
    <xf numFmtId="0" fontId="0" fillId="11" borderId="5" xfId="0" applyFill="1" applyBorder="1"/>
    <xf numFmtId="0" fontId="0" fillId="11" borderId="7" xfId="0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0" borderId="4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0" fillId="14" borderId="1" xfId="0" applyFill="1" applyBorder="1"/>
    <xf numFmtId="2" fontId="0" fillId="14" borderId="0" xfId="1" applyNumberFormat="1" applyFont="1" applyFill="1"/>
    <xf numFmtId="165" fontId="0" fillId="0" borderId="7" xfId="0" applyNumberFormat="1" applyBorder="1"/>
    <xf numFmtId="0" fontId="2" fillId="11" borderId="4" xfId="0" applyFont="1" applyFill="1" applyBorder="1" applyAlignment="1">
      <alignment horizontal="center"/>
    </xf>
    <xf numFmtId="9" fontId="0" fillId="11" borderId="6" xfId="1" applyFont="1" applyFill="1" applyBorder="1"/>
    <xf numFmtId="9" fontId="0" fillId="11" borderId="9" xfId="1" applyFont="1" applyFill="1" applyBorder="1"/>
    <xf numFmtId="0" fontId="0" fillId="2" borderId="5" xfId="0" applyFill="1" applyBorder="1"/>
    <xf numFmtId="0" fontId="0" fillId="2" borderId="6" xfId="0" applyFill="1" applyBorder="1"/>
    <xf numFmtId="9" fontId="0" fillId="10" borderId="28" xfId="1" applyFont="1" applyFill="1" applyBorder="1"/>
    <xf numFmtId="9" fontId="0" fillId="10" borderId="35" xfId="1" applyFont="1" applyFill="1" applyBorder="1"/>
    <xf numFmtId="0" fontId="0" fillId="11" borderId="5" xfId="1" applyNumberFormat="1" applyFont="1" applyFill="1" applyBorder="1"/>
    <xf numFmtId="0" fontId="0" fillId="11" borderId="7" xfId="1" applyNumberFormat="1" applyFont="1" applyFill="1" applyBorder="1"/>
    <xf numFmtId="0" fontId="2" fillId="10" borderId="31" xfId="0" applyFont="1" applyFill="1" applyBorder="1" applyAlignment="1">
      <alignment horizontal="center"/>
    </xf>
    <xf numFmtId="0" fontId="0" fillId="3" borderId="0" xfId="0" applyFill="1"/>
    <xf numFmtId="165" fontId="0" fillId="3" borderId="2" xfId="0" applyNumberFormat="1" applyFill="1" applyBorder="1"/>
    <xf numFmtId="165" fontId="0" fillId="3" borderId="5" xfId="0" applyNumberFormat="1" applyFill="1" applyBorder="1"/>
    <xf numFmtId="0" fontId="0" fillId="10" borderId="29" xfId="0" applyFill="1" applyBorder="1"/>
    <xf numFmtId="0" fontId="2" fillId="10" borderId="38" xfId="0" applyFont="1" applyFill="1" applyBorder="1" applyAlignment="1">
      <alignment horizontal="center"/>
    </xf>
    <xf numFmtId="0" fontId="0" fillId="10" borderId="39" xfId="0" applyFill="1" applyBorder="1"/>
    <xf numFmtId="0" fontId="2" fillId="4" borderId="0" xfId="0" applyFont="1" applyFill="1" applyAlignment="1">
      <alignment horizontal="center"/>
    </xf>
    <xf numFmtId="0" fontId="4" fillId="2" borderId="1" xfId="0" applyFont="1" applyFill="1" applyBorder="1"/>
    <xf numFmtId="165" fontId="0" fillId="5" borderId="0" xfId="0" applyNumberFormat="1" applyFill="1"/>
    <xf numFmtId="165" fontId="0" fillId="6" borderId="0" xfId="0" applyNumberFormat="1" applyFill="1"/>
    <xf numFmtId="0" fontId="2" fillId="13" borderId="0" xfId="0" applyFont="1" applyFill="1"/>
    <xf numFmtId="0" fontId="5" fillId="2" borderId="0" xfId="0" applyFont="1" applyFill="1"/>
    <xf numFmtId="43" fontId="0" fillId="0" borderId="0" xfId="2" applyFont="1"/>
    <xf numFmtId="165" fontId="0" fillId="3" borderId="7" xfId="0" applyNumberFormat="1" applyFill="1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7" xfId="0" applyBorder="1"/>
    <xf numFmtId="165" fontId="0" fillId="2" borderId="5" xfId="0" applyNumberFormat="1" applyFill="1" applyBorder="1"/>
    <xf numFmtId="0" fontId="0" fillId="2" borderId="0" xfId="0" applyFill="1"/>
    <xf numFmtId="9" fontId="0" fillId="2" borderId="0" xfId="1" applyFont="1" applyFill="1"/>
    <xf numFmtId="14" fontId="0" fillId="0" borderId="0" xfId="0" applyNumberFormat="1"/>
    <xf numFmtId="0" fontId="0" fillId="5" borderId="0" xfId="0" applyFill="1"/>
    <xf numFmtId="14" fontId="0" fillId="4" borderId="0" xfId="0" applyNumberFormat="1" applyFill="1"/>
    <xf numFmtId="0" fontId="0" fillId="15" borderId="0" xfId="0" applyFill="1"/>
    <xf numFmtId="0" fontId="0" fillId="16" borderId="0" xfId="0" applyFill="1"/>
    <xf numFmtId="0" fontId="0" fillId="4" borderId="0" xfId="0" applyFill="1"/>
    <xf numFmtId="2" fontId="0" fillId="0" borderId="0" xfId="0" applyNumberFormat="1"/>
    <xf numFmtId="0" fontId="3" fillId="12" borderId="10" xfId="0" applyFont="1" applyFill="1" applyBorder="1"/>
    <xf numFmtId="0" fontId="2" fillId="13" borderId="2" xfId="0" applyFont="1" applyFill="1" applyBorder="1" applyAlignment="1">
      <alignment horizontal="center"/>
    </xf>
    <xf numFmtId="0" fontId="0" fillId="13" borderId="5" xfId="0" applyFill="1" applyBorder="1"/>
    <xf numFmtId="0" fontId="0" fillId="13" borderId="7" xfId="0" applyFill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9" fontId="0" fillId="5" borderId="0" xfId="1" applyFont="1" applyFill="1"/>
    <xf numFmtId="0" fontId="0" fillId="5" borderId="5" xfId="0" applyFill="1" applyBorder="1"/>
    <xf numFmtId="0" fontId="0" fillId="5" borderId="1" xfId="0" applyFill="1" applyBorder="1"/>
    <xf numFmtId="0" fontId="0" fillId="5" borderId="6" xfId="0" applyFill="1" applyBorder="1"/>
    <xf numFmtId="0" fontId="0" fillId="5" borderId="25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40" xfId="0" applyFill="1" applyBorder="1"/>
    <xf numFmtId="0" fontId="0" fillId="5" borderId="41" xfId="0" applyFill="1" applyBorder="1"/>
    <xf numFmtId="0" fontId="0" fillId="5" borderId="42" xfId="0" applyFill="1" applyBorder="1"/>
    <xf numFmtId="0" fontId="0" fillId="5" borderId="16" xfId="0" applyFill="1" applyBorder="1"/>
    <xf numFmtId="9" fontId="0" fillId="5" borderId="16" xfId="1" applyFont="1" applyFill="1" applyBorder="1"/>
    <xf numFmtId="14" fontId="0" fillId="5" borderId="0" xfId="0" applyNumberFormat="1" applyFill="1"/>
    <xf numFmtId="9" fontId="0" fillId="0" borderId="0" xfId="1" applyFont="1" applyFill="1" applyBorder="1"/>
    <xf numFmtId="14" fontId="0" fillId="16" borderId="0" xfId="0" applyNumberFormat="1" applyFill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9" fontId="0" fillId="4" borderId="6" xfId="1" applyFont="1" applyFill="1" applyBorder="1"/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7" borderId="0" xfId="0" applyFont="1" applyFill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0" fillId="0" borderId="6" xfId="0" applyNumberFormat="1" applyBorder="1" applyAlignment="1">
      <alignment horizontal="center"/>
    </xf>
    <xf numFmtId="16" fontId="0" fillId="4" borderId="1" xfId="0" applyNumberFormat="1" applyFill="1" applyBorder="1" applyAlignment="1">
      <alignment horizontal="center"/>
    </xf>
    <xf numFmtId="16" fontId="0" fillId="4" borderId="6" xfId="0" applyNumberFormat="1" applyFill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2" fontId="0" fillId="0" borderId="28" xfId="0" applyNumberFormat="1" applyBorder="1" applyAlignment="1">
      <alignment horizontal="center"/>
    </xf>
    <xf numFmtId="2" fontId="0" fillId="0" borderId="2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9" xfId="0" applyBorder="1" applyAlignment="1">
      <alignment horizontal="center"/>
    </xf>
    <xf numFmtId="16" fontId="0" fillId="0" borderId="28" xfId="0" applyNumberFormat="1" applyBorder="1" applyAlignment="1">
      <alignment horizontal="center"/>
    </xf>
    <xf numFmtId="16" fontId="0" fillId="0" borderId="30" xfId="0" applyNumberFormat="1" applyBorder="1" applyAlignment="1">
      <alignment horizontal="center"/>
    </xf>
    <xf numFmtId="16" fontId="0" fillId="0" borderId="34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28" xfId="0" applyFill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34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6" xfId="0" applyFill="1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16" fontId="0" fillId="3" borderId="28" xfId="0" applyNumberFormat="1" applyFill="1" applyBorder="1" applyAlignment="1">
      <alignment horizontal="center"/>
    </xf>
    <xf numFmtId="16" fontId="0" fillId="3" borderId="30" xfId="0" applyNumberFormat="1" applyFill="1" applyBorder="1" applyAlignment="1">
      <alignment horizontal="center"/>
    </xf>
    <xf numFmtId="16" fontId="0" fillId="3" borderId="34" xfId="0" applyNumberFormat="1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16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0" fontId="0" fillId="17" borderId="5" xfId="0" applyFill="1" applyBorder="1"/>
    <xf numFmtId="0" fontId="0" fillId="17" borderId="1" xfId="0" applyFill="1" applyBorder="1"/>
    <xf numFmtId="9" fontId="0" fillId="17" borderId="6" xfId="1" applyFont="1" applyFill="1" applyBorder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9C54E-4432-44E3-9B8D-70A3A3C42C24}">
  <sheetPr>
    <tabColor theme="5" tint="0.39997558519241921"/>
  </sheetPr>
  <dimension ref="A1:AD85"/>
  <sheetViews>
    <sheetView zoomScale="50" zoomScaleNormal="50" workbookViewId="0">
      <selection sqref="A1:AD1"/>
    </sheetView>
  </sheetViews>
  <sheetFormatPr defaultRowHeight="14.5" x14ac:dyDescent="0.35"/>
  <cols>
    <col min="2" max="2" width="25.6328125" bestFit="1" customWidth="1"/>
    <col min="3" max="3" width="25.6328125" customWidth="1"/>
    <col min="4" max="30" width="8.6328125" customWidth="1"/>
  </cols>
  <sheetData>
    <row r="1" spans="1:30" ht="18.5" x14ac:dyDescent="0.45">
      <c r="A1" s="157" t="s">
        <v>169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</row>
    <row r="2" spans="1:30" x14ac:dyDescent="0.35">
      <c r="A2" t="s">
        <v>20</v>
      </c>
      <c r="B2" t="s">
        <v>0</v>
      </c>
      <c r="C2" t="s">
        <v>96</v>
      </c>
      <c r="D2" t="s">
        <v>1</v>
      </c>
      <c r="E2" t="s">
        <v>2</v>
      </c>
      <c r="F2" t="s">
        <v>17</v>
      </c>
      <c r="G2" t="s">
        <v>3</v>
      </c>
      <c r="H2" t="s">
        <v>19</v>
      </c>
      <c r="I2" t="s">
        <v>22</v>
      </c>
      <c r="J2" t="s">
        <v>21</v>
      </c>
      <c r="L2" s="15">
        <v>45369</v>
      </c>
      <c r="M2" s="15">
        <v>45376</v>
      </c>
      <c r="N2" s="15">
        <v>45383</v>
      </c>
      <c r="O2" s="15">
        <v>45390</v>
      </c>
      <c r="P2" s="15">
        <v>45397</v>
      </c>
      <c r="Q2" s="15">
        <v>45404</v>
      </c>
      <c r="R2" s="15">
        <v>45411</v>
      </c>
      <c r="S2" s="15">
        <v>45418</v>
      </c>
      <c r="T2" s="15">
        <v>45425</v>
      </c>
      <c r="U2" s="15">
        <v>45432</v>
      </c>
      <c r="V2" s="15">
        <v>45439</v>
      </c>
      <c r="W2" s="15">
        <v>45446</v>
      </c>
      <c r="X2" s="15">
        <v>45453</v>
      </c>
      <c r="Y2" s="15">
        <v>45460</v>
      </c>
      <c r="Z2" s="15">
        <v>45467</v>
      </c>
      <c r="AA2" s="15">
        <v>45476</v>
      </c>
      <c r="AB2" s="2">
        <v>45481</v>
      </c>
      <c r="AC2" s="2">
        <v>45495</v>
      </c>
      <c r="AD2" s="2">
        <v>45502</v>
      </c>
    </row>
    <row r="3" spans="1:30" x14ac:dyDescent="0.35">
      <c r="A3">
        <v>1</v>
      </c>
      <c r="B3" t="s">
        <v>91</v>
      </c>
      <c r="C3" t="s">
        <v>8</v>
      </c>
      <c r="D3">
        <v>19</v>
      </c>
      <c r="E3">
        <v>13</v>
      </c>
      <c r="F3">
        <v>6</v>
      </c>
      <c r="G3" s="1">
        <f t="shared" ref="G3:G31" si="0">E3/D3</f>
        <v>0.68421052631578949</v>
      </c>
      <c r="H3" s="1">
        <f t="shared" ref="H3:H31" si="1">+_xlfn.XLOOKUP(D3,$B$36:$B$54,$C$36:$C$54)</f>
        <v>1</v>
      </c>
      <c r="I3" s="6">
        <f t="shared" ref="I3:I31" si="2">+E3/D3</f>
        <v>0.68421052631578949</v>
      </c>
      <c r="J3" s="12">
        <f t="shared" ref="J3:J31" si="3">I3*H3</f>
        <v>0.68421052631578949</v>
      </c>
      <c r="L3" s="3" t="s">
        <v>11</v>
      </c>
      <c r="M3" s="3" t="s">
        <v>12</v>
      </c>
      <c r="N3" s="3" t="s">
        <v>12</v>
      </c>
      <c r="O3" s="3" t="s">
        <v>12</v>
      </c>
      <c r="P3" s="3" t="s">
        <v>11</v>
      </c>
      <c r="Q3" s="3" t="s">
        <v>12</v>
      </c>
      <c r="R3" s="3" t="s">
        <v>12</v>
      </c>
      <c r="S3" s="3" t="s">
        <v>12</v>
      </c>
      <c r="T3" s="3" t="s">
        <v>11</v>
      </c>
      <c r="U3" s="3" t="s">
        <v>12</v>
      </c>
      <c r="V3" s="3" t="s">
        <v>12</v>
      </c>
      <c r="W3" s="3" t="s">
        <v>12</v>
      </c>
      <c r="X3" s="3" t="s">
        <v>11</v>
      </c>
      <c r="Y3" s="3" t="s">
        <v>11</v>
      </c>
      <c r="Z3" s="3" t="s">
        <v>12</v>
      </c>
      <c r="AA3" s="3" t="s">
        <v>11</v>
      </c>
      <c r="AB3" s="3" t="s">
        <v>12</v>
      </c>
      <c r="AC3" s="3" t="s">
        <v>12</v>
      </c>
      <c r="AD3" s="3" t="s">
        <v>12</v>
      </c>
    </row>
    <row r="4" spans="1:30" x14ac:dyDescent="0.35">
      <c r="A4">
        <v>2</v>
      </c>
      <c r="B4" t="s">
        <v>94</v>
      </c>
      <c r="C4" t="s">
        <v>7</v>
      </c>
      <c r="D4">
        <v>18</v>
      </c>
      <c r="E4">
        <v>10</v>
      </c>
      <c r="F4">
        <v>8</v>
      </c>
      <c r="G4" s="1">
        <f t="shared" si="0"/>
        <v>0.55555555555555558</v>
      </c>
      <c r="H4" s="1">
        <f t="shared" si="1"/>
        <v>0.94736842105263153</v>
      </c>
      <c r="I4" s="6">
        <f t="shared" si="2"/>
        <v>0.55555555555555558</v>
      </c>
      <c r="J4" s="7">
        <f t="shared" si="3"/>
        <v>0.52631578947368418</v>
      </c>
      <c r="L4" s="3" t="s">
        <v>11</v>
      </c>
      <c r="M4" s="3" t="s">
        <v>11</v>
      </c>
      <c r="N4" s="4"/>
      <c r="O4" s="3" t="s">
        <v>11</v>
      </c>
      <c r="P4" s="3" t="s">
        <v>11</v>
      </c>
      <c r="Q4" s="3" t="s">
        <v>12</v>
      </c>
      <c r="R4" s="3" t="s">
        <v>12</v>
      </c>
      <c r="S4" s="3" t="s">
        <v>11</v>
      </c>
      <c r="T4" s="3" t="s">
        <v>12</v>
      </c>
      <c r="U4" s="3" t="s">
        <v>12</v>
      </c>
      <c r="V4" s="3" t="s">
        <v>12</v>
      </c>
      <c r="W4" s="3" t="s">
        <v>11</v>
      </c>
      <c r="X4" s="3" t="s">
        <v>12</v>
      </c>
      <c r="Y4" s="3" t="s">
        <v>12</v>
      </c>
      <c r="Z4" s="3" t="s">
        <v>12</v>
      </c>
      <c r="AA4" s="3" t="s">
        <v>12</v>
      </c>
      <c r="AB4" s="3" t="s">
        <v>11</v>
      </c>
      <c r="AC4" s="3" t="s">
        <v>11</v>
      </c>
      <c r="AD4" s="3" t="s">
        <v>12</v>
      </c>
    </row>
    <row r="5" spans="1:30" x14ac:dyDescent="0.35">
      <c r="A5">
        <v>3</v>
      </c>
      <c r="B5" t="s">
        <v>90</v>
      </c>
      <c r="C5" t="s">
        <v>6</v>
      </c>
      <c r="D5">
        <v>17</v>
      </c>
      <c r="E5">
        <v>9</v>
      </c>
      <c r="F5">
        <v>8</v>
      </c>
      <c r="G5" s="1">
        <f t="shared" si="0"/>
        <v>0.52941176470588236</v>
      </c>
      <c r="H5" s="1">
        <f t="shared" si="1"/>
        <v>0.89473684210526316</v>
      </c>
      <c r="I5" s="6">
        <f t="shared" si="2"/>
        <v>0.52941176470588236</v>
      </c>
      <c r="J5" s="7">
        <f t="shared" si="3"/>
        <v>0.47368421052631582</v>
      </c>
      <c r="L5" s="3" t="s">
        <v>12</v>
      </c>
      <c r="M5" s="3" t="s">
        <v>11</v>
      </c>
      <c r="N5" s="3" t="s">
        <v>11</v>
      </c>
      <c r="O5" s="3" t="s">
        <v>12</v>
      </c>
      <c r="P5" s="3" t="s">
        <v>11</v>
      </c>
      <c r="Q5" s="3" t="s">
        <v>12</v>
      </c>
      <c r="R5" s="4"/>
      <c r="S5" s="3" t="s">
        <v>11</v>
      </c>
      <c r="T5" s="3" t="s">
        <v>11</v>
      </c>
      <c r="U5" s="3" t="s">
        <v>12</v>
      </c>
      <c r="V5" s="3" t="s">
        <v>12</v>
      </c>
      <c r="W5" s="3" t="s">
        <v>11</v>
      </c>
      <c r="X5" s="3" t="s">
        <v>12</v>
      </c>
      <c r="Y5" s="3" t="s">
        <v>12</v>
      </c>
      <c r="Z5" s="4"/>
      <c r="AA5" s="3" t="s">
        <v>11</v>
      </c>
      <c r="AB5" s="3" t="s">
        <v>12</v>
      </c>
      <c r="AC5" s="3" t="s">
        <v>11</v>
      </c>
      <c r="AD5" s="3" t="s">
        <v>12</v>
      </c>
    </row>
    <row r="6" spans="1:30" x14ac:dyDescent="0.35">
      <c r="A6">
        <v>4</v>
      </c>
      <c r="B6" t="s">
        <v>119</v>
      </c>
      <c r="C6" t="s">
        <v>13</v>
      </c>
      <c r="D6">
        <v>13</v>
      </c>
      <c r="E6">
        <v>8</v>
      </c>
      <c r="F6">
        <v>5</v>
      </c>
      <c r="G6" s="1">
        <f t="shared" si="0"/>
        <v>0.61538461538461542</v>
      </c>
      <c r="H6" s="1">
        <f t="shared" si="1"/>
        <v>0.68421052631578949</v>
      </c>
      <c r="I6" s="6">
        <f t="shared" si="2"/>
        <v>0.61538461538461542</v>
      </c>
      <c r="J6" s="7">
        <f t="shared" si="3"/>
        <v>0.4210526315789474</v>
      </c>
      <c r="L6" s="3" t="s">
        <v>12</v>
      </c>
      <c r="M6" s="3" t="s">
        <v>11</v>
      </c>
      <c r="N6" s="3" t="s">
        <v>11</v>
      </c>
      <c r="O6" s="3" t="s">
        <v>11</v>
      </c>
      <c r="P6" s="4"/>
      <c r="Q6" s="3" t="s">
        <v>12</v>
      </c>
      <c r="R6" s="4"/>
      <c r="S6" s="3" t="s">
        <v>11</v>
      </c>
      <c r="T6" s="3" t="s">
        <v>12</v>
      </c>
      <c r="U6" s="3" t="s">
        <v>12</v>
      </c>
      <c r="V6" s="3" t="s">
        <v>11</v>
      </c>
      <c r="W6" s="3" t="s">
        <v>12</v>
      </c>
      <c r="X6" s="4"/>
      <c r="Y6" s="3" t="s">
        <v>12</v>
      </c>
      <c r="Z6" s="4"/>
      <c r="AA6" s="3" t="s">
        <v>12</v>
      </c>
      <c r="AB6" s="3" t="s">
        <v>12</v>
      </c>
      <c r="AC6" s="4"/>
      <c r="AD6" s="4"/>
    </row>
    <row r="7" spans="1:30" x14ac:dyDescent="0.35">
      <c r="A7">
        <v>4</v>
      </c>
      <c r="B7" t="s">
        <v>101</v>
      </c>
      <c r="C7" t="s">
        <v>29</v>
      </c>
      <c r="D7">
        <v>16</v>
      </c>
      <c r="E7">
        <v>8</v>
      </c>
      <c r="F7">
        <v>8</v>
      </c>
      <c r="G7" s="1">
        <f t="shared" si="0"/>
        <v>0.5</v>
      </c>
      <c r="H7" s="1">
        <f t="shared" si="1"/>
        <v>0.84210526315789469</v>
      </c>
      <c r="I7" s="6">
        <f t="shared" si="2"/>
        <v>0.5</v>
      </c>
      <c r="J7" s="7">
        <f t="shared" si="3"/>
        <v>0.42105263157894735</v>
      </c>
      <c r="L7" s="4"/>
      <c r="M7" s="4"/>
      <c r="N7" s="3" t="s">
        <v>12</v>
      </c>
      <c r="O7" s="3" t="s">
        <v>11</v>
      </c>
      <c r="P7" s="3" t="s">
        <v>11</v>
      </c>
      <c r="Q7" s="3" t="s">
        <v>11</v>
      </c>
      <c r="R7" s="3" t="s">
        <v>12</v>
      </c>
      <c r="S7" s="3" t="s">
        <v>11</v>
      </c>
      <c r="T7" s="3" t="s">
        <v>12</v>
      </c>
      <c r="U7" s="3" t="s">
        <v>11</v>
      </c>
      <c r="V7" s="4"/>
      <c r="W7" s="3" t="s">
        <v>11</v>
      </c>
      <c r="X7" s="3" t="s">
        <v>12</v>
      </c>
      <c r="Y7" s="3" t="s">
        <v>12</v>
      </c>
      <c r="Z7" s="3" t="s">
        <v>12</v>
      </c>
      <c r="AA7" s="3" t="s">
        <v>12</v>
      </c>
      <c r="AB7" s="3" t="s">
        <v>11</v>
      </c>
      <c r="AC7" s="3" t="s">
        <v>12</v>
      </c>
      <c r="AD7" s="3" t="s">
        <v>11</v>
      </c>
    </row>
    <row r="8" spans="1:30" x14ac:dyDescent="0.35">
      <c r="A8">
        <v>4</v>
      </c>
      <c r="B8" t="s">
        <v>116</v>
      </c>
      <c r="C8" t="s">
        <v>5</v>
      </c>
      <c r="D8">
        <v>19</v>
      </c>
      <c r="E8">
        <v>8</v>
      </c>
      <c r="F8">
        <v>11</v>
      </c>
      <c r="G8" s="1">
        <f t="shared" si="0"/>
        <v>0.42105263157894735</v>
      </c>
      <c r="H8" s="1">
        <f t="shared" si="1"/>
        <v>1</v>
      </c>
      <c r="I8" s="6">
        <f t="shared" si="2"/>
        <v>0.42105263157894735</v>
      </c>
      <c r="J8" s="7">
        <f t="shared" si="3"/>
        <v>0.42105263157894735</v>
      </c>
      <c r="L8" s="3" t="s">
        <v>11</v>
      </c>
      <c r="M8" s="3" t="s">
        <v>12</v>
      </c>
      <c r="N8" s="3" t="s">
        <v>11</v>
      </c>
      <c r="O8" s="3" t="s">
        <v>12</v>
      </c>
      <c r="P8" s="3" t="s">
        <v>12</v>
      </c>
      <c r="Q8" s="3" t="s">
        <v>12</v>
      </c>
      <c r="R8" s="3" t="s">
        <v>12</v>
      </c>
      <c r="S8" s="3" t="s">
        <v>11</v>
      </c>
      <c r="T8" s="3" t="s">
        <v>11</v>
      </c>
      <c r="U8" s="3" t="s">
        <v>11</v>
      </c>
      <c r="V8" s="3" t="s">
        <v>11</v>
      </c>
      <c r="W8" s="3" t="s">
        <v>12</v>
      </c>
      <c r="X8" s="3" t="s">
        <v>12</v>
      </c>
      <c r="Y8" s="3" t="s">
        <v>11</v>
      </c>
      <c r="Z8" s="3" t="s">
        <v>11</v>
      </c>
      <c r="AA8" s="3" t="s">
        <v>11</v>
      </c>
      <c r="AB8" s="3" t="s">
        <v>11</v>
      </c>
      <c r="AC8" s="3" t="s">
        <v>11</v>
      </c>
      <c r="AD8" s="3" t="s">
        <v>12</v>
      </c>
    </row>
    <row r="9" spans="1:30" x14ac:dyDescent="0.35">
      <c r="A9">
        <v>7</v>
      </c>
      <c r="B9" t="s">
        <v>121</v>
      </c>
      <c r="C9" t="s">
        <v>10</v>
      </c>
      <c r="D9">
        <v>15</v>
      </c>
      <c r="E9">
        <v>7</v>
      </c>
      <c r="F9">
        <v>8</v>
      </c>
      <c r="G9" s="1">
        <f t="shared" si="0"/>
        <v>0.46666666666666667</v>
      </c>
      <c r="H9" s="1">
        <f t="shared" si="1"/>
        <v>0.78947368421052633</v>
      </c>
      <c r="I9" s="6">
        <f t="shared" si="2"/>
        <v>0.46666666666666667</v>
      </c>
      <c r="J9" s="13">
        <f t="shared" si="3"/>
        <v>0.36842105263157898</v>
      </c>
      <c r="L9" s="3" t="s">
        <v>11</v>
      </c>
      <c r="M9" s="3" t="s">
        <v>12</v>
      </c>
      <c r="N9" s="3" t="s">
        <v>11</v>
      </c>
      <c r="O9" s="3" t="s">
        <v>12</v>
      </c>
      <c r="P9" s="9" t="s">
        <v>12</v>
      </c>
      <c r="Q9" s="4"/>
      <c r="R9" s="3" t="s">
        <v>11</v>
      </c>
      <c r="S9" s="3" t="s">
        <v>12</v>
      </c>
      <c r="T9" s="3" t="s">
        <v>11</v>
      </c>
      <c r="U9" s="4"/>
      <c r="V9" s="3" t="s">
        <v>12</v>
      </c>
      <c r="W9" s="3" t="s">
        <v>11</v>
      </c>
      <c r="X9" s="3" t="s">
        <v>11</v>
      </c>
      <c r="Y9" s="3" t="s">
        <v>11</v>
      </c>
      <c r="Z9" s="3" t="s">
        <v>11</v>
      </c>
      <c r="AA9" s="3" t="s">
        <v>12</v>
      </c>
      <c r="AB9" s="3" t="s">
        <v>12</v>
      </c>
      <c r="AC9" s="4"/>
      <c r="AD9" s="4"/>
    </row>
    <row r="10" spans="1:30" x14ac:dyDescent="0.35">
      <c r="A10">
        <v>8</v>
      </c>
      <c r="B10" t="s">
        <v>95</v>
      </c>
      <c r="C10" t="s">
        <v>4</v>
      </c>
      <c r="D10">
        <v>9</v>
      </c>
      <c r="E10">
        <v>6</v>
      </c>
      <c r="F10">
        <v>3</v>
      </c>
      <c r="G10" s="1">
        <f t="shared" si="0"/>
        <v>0.66666666666666663</v>
      </c>
      <c r="H10" s="1">
        <f t="shared" si="1"/>
        <v>0.47368421052631576</v>
      </c>
      <c r="I10" s="6">
        <f t="shared" si="2"/>
        <v>0.66666666666666663</v>
      </c>
      <c r="J10" s="13">
        <f t="shared" si="3"/>
        <v>0.31578947368421051</v>
      </c>
      <c r="L10" s="3" t="s">
        <v>12</v>
      </c>
      <c r="M10" s="3" t="s">
        <v>11</v>
      </c>
      <c r="N10" s="3" t="s">
        <v>12</v>
      </c>
      <c r="O10" s="3" t="s">
        <v>12</v>
      </c>
      <c r="P10" s="4"/>
      <c r="Q10" s="4"/>
      <c r="R10" s="4"/>
      <c r="S10" s="3" t="s">
        <v>12</v>
      </c>
      <c r="T10" s="3" t="s">
        <v>12</v>
      </c>
      <c r="U10" s="3" t="s">
        <v>12</v>
      </c>
      <c r="V10" s="3" t="s">
        <v>11</v>
      </c>
      <c r="W10" s="4"/>
      <c r="X10" s="4"/>
      <c r="Y10" s="4"/>
      <c r="Z10" s="4"/>
      <c r="AA10" s="4"/>
      <c r="AB10" s="4"/>
      <c r="AC10" s="3" t="s">
        <v>11</v>
      </c>
      <c r="AD10" s="4"/>
    </row>
    <row r="11" spans="1:30" x14ac:dyDescent="0.35">
      <c r="A11">
        <v>9</v>
      </c>
      <c r="B11" t="s">
        <v>31</v>
      </c>
      <c r="C11" t="s">
        <v>31</v>
      </c>
      <c r="D11">
        <v>9</v>
      </c>
      <c r="E11">
        <v>5</v>
      </c>
      <c r="F11">
        <v>4</v>
      </c>
      <c r="G11" s="1">
        <f t="shared" si="0"/>
        <v>0.55555555555555558</v>
      </c>
      <c r="H11" s="1">
        <f t="shared" si="1"/>
        <v>0.47368421052631576</v>
      </c>
      <c r="I11" s="6">
        <f t="shared" si="2"/>
        <v>0.55555555555555558</v>
      </c>
      <c r="J11" s="13">
        <f t="shared" si="3"/>
        <v>0.26315789473684209</v>
      </c>
      <c r="L11" s="4"/>
      <c r="M11" s="4"/>
      <c r="N11" s="4"/>
      <c r="O11" s="4"/>
      <c r="P11" s="3" t="s">
        <v>12</v>
      </c>
      <c r="Q11" s="3" t="s">
        <v>11</v>
      </c>
      <c r="R11" s="3" t="s">
        <v>11</v>
      </c>
      <c r="S11" s="3" t="s">
        <v>12</v>
      </c>
      <c r="T11" s="3" t="s">
        <v>11</v>
      </c>
      <c r="U11" s="4"/>
      <c r="V11" s="3" t="s">
        <v>12</v>
      </c>
      <c r="W11" s="3" t="s">
        <v>12</v>
      </c>
      <c r="X11" s="4"/>
      <c r="Y11" s="4"/>
      <c r="Z11" s="4"/>
      <c r="AA11" s="4"/>
      <c r="AB11" s="4"/>
      <c r="AC11" s="3" t="s">
        <v>12</v>
      </c>
      <c r="AD11" s="3" t="s">
        <v>11</v>
      </c>
    </row>
    <row r="12" spans="1:30" x14ac:dyDescent="0.35">
      <c r="A12">
        <v>10</v>
      </c>
      <c r="B12" t="s">
        <v>26</v>
      </c>
      <c r="C12" t="s">
        <v>122</v>
      </c>
      <c r="D12">
        <v>8</v>
      </c>
      <c r="E12">
        <v>4</v>
      </c>
      <c r="F12">
        <v>4</v>
      </c>
      <c r="G12" s="1">
        <f t="shared" si="0"/>
        <v>0.5</v>
      </c>
      <c r="H12" s="1">
        <f t="shared" si="1"/>
        <v>0.42105263157894735</v>
      </c>
      <c r="I12" s="6">
        <f t="shared" si="2"/>
        <v>0.5</v>
      </c>
      <c r="J12" s="13">
        <f t="shared" si="3"/>
        <v>0.21052631578947367</v>
      </c>
      <c r="L12" s="4"/>
      <c r="M12" s="3" t="s">
        <v>12</v>
      </c>
      <c r="N12" s="4"/>
      <c r="O12" s="4"/>
      <c r="P12" s="3" t="s">
        <v>12</v>
      </c>
      <c r="Q12" s="3" t="s">
        <v>11</v>
      </c>
      <c r="R12" s="3" t="s">
        <v>11</v>
      </c>
      <c r="S12" s="3" t="s">
        <v>12</v>
      </c>
      <c r="T12" s="4"/>
      <c r="U12" s="3" t="s">
        <v>11</v>
      </c>
      <c r="V12" s="3" t="s">
        <v>11</v>
      </c>
      <c r="W12" s="3" t="s">
        <v>12</v>
      </c>
      <c r="X12" s="4"/>
      <c r="Y12" s="4"/>
      <c r="Z12" s="4"/>
      <c r="AA12" s="4"/>
      <c r="AB12" s="4"/>
      <c r="AC12" s="4"/>
      <c r="AD12" s="4"/>
    </row>
    <row r="13" spans="1:30" x14ac:dyDescent="0.35">
      <c r="A13">
        <v>11</v>
      </c>
      <c r="B13" t="s">
        <v>89</v>
      </c>
      <c r="C13" t="s">
        <v>25</v>
      </c>
      <c r="D13">
        <v>4</v>
      </c>
      <c r="E13">
        <v>3</v>
      </c>
      <c r="F13">
        <v>1</v>
      </c>
      <c r="G13" s="1">
        <f t="shared" si="0"/>
        <v>0.75</v>
      </c>
      <c r="H13" s="1">
        <f t="shared" si="1"/>
        <v>0.21052631578947367</v>
      </c>
      <c r="I13" s="6">
        <f t="shared" si="2"/>
        <v>0.75</v>
      </c>
      <c r="J13" s="8">
        <f t="shared" si="3"/>
        <v>0.15789473684210525</v>
      </c>
      <c r="L13" s="3" t="s">
        <v>12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3" t="s">
        <v>12</v>
      </c>
      <c r="AC13" s="3" t="s">
        <v>12</v>
      </c>
      <c r="AD13" s="3" t="s">
        <v>11</v>
      </c>
    </row>
    <row r="14" spans="1:30" x14ac:dyDescent="0.35">
      <c r="A14">
        <v>11</v>
      </c>
      <c r="B14" t="s">
        <v>120</v>
      </c>
      <c r="C14" t="s">
        <v>64</v>
      </c>
      <c r="D14">
        <v>4</v>
      </c>
      <c r="E14">
        <v>3</v>
      </c>
      <c r="F14">
        <v>1</v>
      </c>
      <c r="G14" s="1">
        <f t="shared" si="0"/>
        <v>0.75</v>
      </c>
      <c r="H14" s="1">
        <f t="shared" si="1"/>
        <v>0.21052631578947367</v>
      </c>
      <c r="I14" s="6">
        <f t="shared" si="2"/>
        <v>0.75</v>
      </c>
      <c r="J14" s="8">
        <f t="shared" si="3"/>
        <v>0.15789473684210525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3" t="s">
        <v>12</v>
      </c>
      <c r="Y14" s="3" t="s">
        <v>12</v>
      </c>
      <c r="Z14" s="3" t="s">
        <v>12</v>
      </c>
      <c r="AA14" s="4"/>
      <c r="AB14" s="3" t="s">
        <v>11</v>
      </c>
      <c r="AC14" s="4"/>
      <c r="AD14" s="4"/>
    </row>
    <row r="15" spans="1:30" x14ac:dyDescent="0.35">
      <c r="A15">
        <v>11</v>
      </c>
      <c r="B15" t="s">
        <v>127</v>
      </c>
      <c r="C15" t="s">
        <v>9</v>
      </c>
      <c r="D15">
        <v>12</v>
      </c>
      <c r="E15">
        <v>3</v>
      </c>
      <c r="F15">
        <v>9</v>
      </c>
      <c r="G15" s="1">
        <f t="shared" si="0"/>
        <v>0.25</v>
      </c>
      <c r="H15" s="1">
        <f t="shared" si="1"/>
        <v>0.63157894736842102</v>
      </c>
      <c r="I15" s="6">
        <f t="shared" si="2"/>
        <v>0.25</v>
      </c>
      <c r="J15" s="8">
        <f t="shared" si="3"/>
        <v>0.15789473684210525</v>
      </c>
      <c r="L15" s="3" t="s">
        <v>11</v>
      </c>
      <c r="M15" s="3" t="s">
        <v>12</v>
      </c>
      <c r="N15" s="3" t="s">
        <v>12</v>
      </c>
      <c r="O15" s="4"/>
      <c r="P15" s="4"/>
      <c r="Q15" s="10" t="s">
        <v>11</v>
      </c>
      <c r="R15" s="3" t="s">
        <v>11</v>
      </c>
      <c r="S15" s="4"/>
      <c r="T15" s="4"/>
      <c r="U15" s="3" t="s">
        <v>11</v>
      </c>
      <c r="V15" s="3" t="s">
        <v>11</v>
      </c>
      <c r="W15" s="3" t="s">
        <v>11</v>
      </c>
      <c r="X15" s="3" t="s">
        <v>11</v>
      </c>
      <c r="Y15" s="3" t="s">
        <v>11</v>
      </c>
      <c r="Z15" s="4"/>
      <c r="AA15" s="3" t="s">
        <v>11</v>
      </c>
      <c r="AB15" s="4"/>
      <c r="AC15" s="4"/>
      <c r="AD15" s="3" t="s">
        <v>12</v>
      </c>
    </row>
    <row r="16" spans="1:30" x14ac:dyDescent="0.35">
      <c r="A16">
        <v>14</v>
      </c>
      <c r="B16" t="s">
        <v>88</v>
      </c>
      <c r="C16" t="s">
        <v>36</v>
      </c>
      <c r="D16">
        <v>4</v>
      </c>
      <c r="E16">
        <v>2</v>
      </c>
      <c r="F16">
        <v>2</v>
      </c>
      <c r="G16" s="1">
        <f t="shared" si="0"/>
        <v>0.5</v>
      </c>
      <c r="H16" s="1">
        <f t="shared" si="1"/>
        <v>0.21052631578947367</v>
      </c>
      <c r="I16" s="6">
        <f t="shared" si="2"/>
        <v>0.5</v>
      </c>
      <c r="J16" s="8">
        <f t="shared" si="3"/>
        <v>0.10526315789473684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3" t="s">
        <v>11</v>
      </c>
      <c r="Y16" s="4"/>
      <c r="Z16" s="3" t="s">
        <v>12</v>
      </c>
      <c r="AA16" s="4"/>
      <c r="AB16" s="4"/>
      <c r="AC16" s="3" t="s">
        <v>12</v>
      </c>
      <c r="AD16" s="3" t="s">
        <v>11</v>
      </c>
    </row>
    <row r="17" spans="1:30" x14ac:dyDescent="0.35">
      <c r="A17">
        <v>14</v>
      </c>
      <c r="B17" t="s">
        <v>126</v>
      </c>
      <c r="C17" t="s">
        <v>34</v>
      </c>
      <c r="D17">
        <v>5</v>
      </c>
      <c r="E17">
        <v>2</v>
      </c>
      <c r="F17">
        <v>3</v>
      </c>
      <c r="G17" s="1">
        <f t="shared" si="0"/>
        <v>0.4</v>
      </c>
      <c r="H17" s="1">
        <f t="shared" si="1"/>
        <v>0.26315789473684209</v>
      </c>
      <c r="I17" s="6">
        <f t="shared" si="2"/>
        <v>0.4</v>
      </c>
      <c r="J17" s="8">
        <f t="shared" si="3"/>
        <v>0.10526315789473684</v>
      </c>
      <c r="L17" s="4"/>
      <c r="M17" s="4"/>
      <c r="N17" s="4"/>
      <c r="O17" s="4"/>
      <c r="P17" s="4"/>
      <c r="Q17" s="4"/>
      <c r="R17" s="3" t="s">
        <v>12</v>
      </c>
      <c r="S17" s="4"/>
      <c r="T17" s="4"/>
      <c r="U17" s="4"/>
      <c r="V17" s="4"/>
      <c r="W17" s="4"/>
      <c r="X17" s="3" t="s">
        <v>11</v>
      </c>
      <c r="Y17" s="3" t="s">
        <v>11</v>
      </c>
      <c r="Z17" s="4"/>
      <c r="AA17" s="3" t="s">
        <v>12</v>
      </c>
      <c r="AB17" s="4"/>
      <c r="AC17" s="4"/>
      <c r="AD17" s="3" t="s">
        <v>11</v>
      </c>
    </row>
    <row r="18" spans="1:30" x14ac:dyDescent="0.35">
      <c r="A18">
        <v>16</v>
      </c>
      <c r="B18" t="s">
        <v>123</v>
      </c>
      <c r="C18" t="s">
        <v>68</v>
      </c>
      <c r="D18">
        <v>1</v>
      </c>
      <c r="E18">
        <v>1</v>
      </c>
      <c r="F18">
        <v>0</v>
      </c>
      <c r="G18" s="1">
        <f t="shared" si="0"/>
        <v>1</v>
      </c>
      <c r="H18" s="1">
        <f t="shared" si="1"/>
        <v>5.2631578947368418E-2</v>
      </c>
      <c r="I18" s="6">
        <f t="shared" si="2"/>
        <v>1</v>
      </c>
      <c r="J18" s="8">
        <f t="shared" si="3"/>
        <v>5.2631578947368418E-2</v>
      </c>
      <c r="L18" s="3" t="s">
        <v>12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35">
      <c r="A19">
        <v>16</v>
      </c>
      <c r="B19" t="s">
        <v>27</v>
      </c>
      <c r="C19" t="s">
        <v>124</v>
      </c>
      <c r="D19">
        <v>1</v>
      </c>
      <c r="E19">
        <v>1</v>
      </c>
      <c r="F19">
        <v>0</v>
      </c>
      <c r="G19" s="1">
        <f t="shared" si="0"/>
        <v>1</v>
      </c>
      <c r="H19" s="1">
        <f t="shared" si="1"/>
        <v>5.2631578947368418E-2</v>
      </c>
      <c r="I19" s="6">
        <f t="shared" si="2"/>
        <v>1</v>
      </c>
      <c r="J19" s="8">
        <f t="shared" si="3"/>
        <v>5.2631578947368418E-2</v>
      </c>
      <c r="L19" s="4"/>
      <c r="M19" s="4"/>
      <c r="N19" s="3" t="s">
        <v>12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35">
      <c r="A20">
        <v>16</v>
      </c>
      <c r="B20" t="s">
        <v>35</v>
      </c>
      <c r="C20" t="s">
        <v>179</v>
      </c>
      <c r="D20">
        <v>1</v>
      </c>
      <c r="E20">
        <v>1</v>
      </c>
      <c r="F20">
        <v>0</v>
      </c>
      <c r="G20" s="1">
        <f t="shared" si="0"/>
        <v>1</v>
      </c>
      <c r="H20" s="1">
        <f t="shared" si="1"/>
        <v>5.2631578947368418E-2</v>
      </c>
      <c r="I20" s="6">
        <f t="shared" si="2"/>
        <v>1</v>
      </c>
      <c r="J20" s="8">
        <f t="shared" si="3"/>
        <v>5.2631578947368418E-2</v>
      </c>
      <c r="L20" s="4"/>
      <c r="M20" s="4"/>
      <c r="N20" s="4"/>
      <c r="O20" s="4"/>
      <c r="P20" s="4"/>
      <c r="Q20" s="4"/>
      <c r="R20" s="4"/>
      <c r="S20" s="4"/>
      <c r="T20" s="3" t="s">
        <v>12</v>
      </c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35">
      <c r="A21">
        <v>16</v>
      </c>
      <c r="B21" t="s">
        <v>32</v>
      </c>
      <c r="C21" t="s">
        <v>65</v>
      </c>
      <c r="D21">
        <v>2</v>
      </c>
      <c r="E21">
        <v>1</v>
      </c>
      <c r="F21">
        <v>1</v>
      </c>
      <c r="G21" s="1">
        <f t="shared" si="0"/>
        <v>0.5</v>
      </c>
      <c r="H21" s="1">
        <f t="shared" si="1"/>
        <v>0.10526315789473684</v>
      </c>
      <c r="I21" s="6">
        <f t="shared" si="2"/>
        <v>0.5</v>
      </c>
      <c r="J21" s="8">
        <f t="shared" si="3"/>
        <v>5.2631578947368418E-2</v>
      </c>
      <c r="L21" s="4"/>
      <c r="M21" s="4"/>
      <c r="N21" s="4"/>
      <c r="O21" s="4"/>
      <c r="P21" s="3" t="s">
        <v>12</v>
      </c>
      <c r="Q21" s="4"/>
      <c r="R21" s="4"/>
      <c r="S21" s="4"/>
      <c r="T21" s="4"/>
      <c r="U21" s="3" t="s">
        <v>11</v>
      </c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35">
      <c r="A22">
        <v>20</v>
      </c>
      <c r="B22" t="s">
        <v>23</v>
      </c>
      <c r="C22" t="s">
        <v>102</v>
      </c>
      <c r="D22">
        <v>2</v>
      </c>
      <c r="E22">
        <v>0</v>
      </c>
      <c r="F22">
        <v>2</v>
      </c>
      <c r="G22" s="1">
        <f t="shared" si="0"/>
        <v>0</v>
      </c>
      <c r="H22" s="1">
        <f t="shared" si="1"/>
        <v>0.10526315789473684</v>
      </c>
      <c r="I22" s="6">
        <f t="shared" si="2"/>
        <v>0</v>
      </c>
      <c r="J22" s="8">
        <f t="shared" si="3"/>
        <v>0</v>
      </c>
      <c r="L22" s="4"/>
      <c r="M22" s="3" t="s">
        <v>11</v>
      </c>
      <c r="N22" s="4"/>
      <c r="O22" s="4"/>
      <c r="P22" s="3" t="s">
        <v>11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35">
      <c r="A23">
        <v>20</v>
      </c>
      <c r="B23" t="s">
        <v>38</v>
      </c>
      <c r="C23" t="s">
        <v>67</v>
      </c>
      <c r="D23">
        <v>3</v>
      </c>
      <c r="E23">
        <v>0</v>
      </c>
      <c r="F23">
        <v>3</v>
      </c>
      <c r="G23" s="1">
        <f t="shared" si="0"/>
        <v>0</v>
      </c>
      <c r="H23" s="1">
        <f t="shared" si="1"/>
        <v>0.15789473684210525</v>
      </c>
      <c r="I23" s="6">
        <f t="shared" si="2"/>
        <v>0</v>
      </c>
      <c r="J23" s="8">
        <f t="shared" si="3"/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3" t="s">
        <v>11</v>
      </c>
      <c r="AB23" s="3" t="s">
        <v>11</v>
      </c>
      <c r="AC23" s="3" t="s">
        <v>11</v>
      </c>
      <c r="AD23" s="4"/>
    </row>
    <row r="24" spans="1:30" x14ac:dyDescent="0.35">
      <c r="A24">
        <v>20</v>
      </c>
      <c r="B24" t="s">
        <v>28</v>
      </c>
      <c r="C24" t="s">
        <v>129</v>
      </c>
      <c r="D24">
        <v>1</v>
      </c>
      <c r="E24">
        <v>0</v>
      </c>
      <c r="F24">
        <v>1</v>
      </c>
      <c r="G24" s="1">
        <f t="shared" si="0"/>
        <v>0</v>
      </c>
      <c r="H24" s="1">
        <f t="shared" si="1"/>
        <v>5.2631578947368418E-2</v>
      </c>
      <c r="I24" s="6">
        <f t="shared" si="2"/>
        <v>0</v>
      </c>
      <c r="J24" s="8">
        <f t="shared" si="3"/>
        <v>0</v>
      </c>
      <c r="L24" s="4"/>
      <c r="M24" s="4"/>
      <c r="N24" s="3" t="s">
        <v>11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35">
      <c r="A25">
        <v>20</v>
      </c>
      <c r="B25" t="s">
        <v>30</v>
      </c>
      <c r="C25" t="s">
        <v>130</v>
      </c>
      <c r="D25">
        <v>1</v>
      </c>
      <c r="E25">
        <v>0</v>
      </c>
      <c r="F25">
        <v>1</v>
      </c>
      <c r="G25" s="1">
        <f t="shared" si="0"/>
        <v>0</v>
      </c>
      <c r="H25" s="1">
        <f t="shared" si="1"/>
        <v>5.2631578947368418E-2</v>
      </c>
      <c r="I25" s="6">
        <f t="shared" si="2"/>
        <v>0</v>
      </c>
      <c r="J25" s="8">
        <f t="shared" si="3"/>
        <v>0</v>
      </c>
      <c r="L25" s="4"/>
      <c r="M25" s="4"/>
      <c r="N25" s="4"/>
      <c r="O25" s="3" t="s">
        <v>11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35">
      <c r="A26">
        <v>20</v>
      </c>
      <c r="B26" t="s">
        <v>131</v>
      </c>
      <c r="C26" t="s">
        <v>72</v>
      </c>
      <c r="D26">
        <v>1</v>
      </c>
      <c r="E26">
        <v>0</v>
      </c>
      <c r="F26">
        <v>1</v>
      </c>
      <c r="G26" s="1">
        <f t="shared" si="0"/>
        <v>0</v>
      </c>
      <c r="H26" s="1">
        <f t="shared" si="1"/>
        <v>5.2631578947368418E-2</v>
      </c>
      <c r="I26" s="6">
        <f t="shared" si="2"/>
        <v>0</v>
      </c>
      <c r="J26" s="8">
        <f t="shared" si="3"/>
        <v>0</v>
      </c>
      <c r="L26" s="4"/>
      <c r="M26" s="4"/>
      <c r="N26" s="4"/>
      <c r="O26" s="3" t="s">
        <v>11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35">
      <c r="A27">
        <v>20</v>
      </c>
      <c r="B27" t="s">
        <v>33</v>
      </c>
      <c r="C27" t="s">
        <v>132</v>
      </c>
      <c r="D27">
        <v>1</v>
      </c>
      <c r="E27">
        <v>0</v>
      </c>
      <c r="F27">
        <v>1</v>
      </c>
      <c r="G27" s="1">
        <f t="shared" si="0"/>
        <v>0</v>
      </c>
      <c r="H27" s="1">
        <f t="shared" si="1"/>
        <v>5.2631578947368418E-2</v>
      </c>
      <c r="I27" s="6">
        <f t="shared" si="2"/>
        <v>0</v>
      </c>
      <c r="J27" s="8">
        <f t="shared" si="3"/>
        <v>0</v>
      </c>
      <c r="L27" s="4"/>
      <c r="M27" s="4"/>
      <c r="N27" s="4"/>
      <c r="O27" s="4"/>
      <c r="P27" s="4"/>
      <c r="Q27" s="3" t="s">
        <v>11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35">
      <c r="A28">
        <v>20</v>
      </c>
      <c r="B28" t="s">
        <v>37</v>
      </c>
      <c r="C28" t="s">
        <v>133</v>
      </c>
      <c r="D28">
        <v>1</v>
      </c>
      <c r="E28">
        <v>0</v>
      </c>
      <c r="F28">
        <v>1</v>
      </c>
      <c r="G28" s="1">
        <f t="shared" si="0"/>
        <v>0</v>
      </c>
      <c r="H28" s="1">
        <f t="shared" si="1"/>
        <v>5.2631578947368418E-2</v>
      </c>
      <c r="I28" s="6">
        <f t="shared" si="2"/>
        <v>0</v>
      </c>
      <c r="J28" s="8">
        <f t="shared" si="3"/>
        <v>0</v>
      </c>
      <c r="L28" s="4"/>
      <c r="M28" s="4"/>
      <c r="N28" s="4"/>
      <c r="O28" s="4"/>
      <c r="P28" s="4"/>
      <c r="Q28" s="4"/>
      <c r="R28" s="3" t="s">
        <v>11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35">
      <c r="A29">
        <v>20</v>
      </c>
      <c r="B29" t="s">
        <v>57</v>
      </c>
      <c r="C29" t="s">
        <v>134</v>
      </c>
      <c r="D29">
        <v>1</v>
      </c>
      <c r="E29">
        <v>0</v>
      </c>
      <c r="F29">
        <v>1</v>
      </c>
      <c r="G29" s="1">
        <f t="shared" si="0"/>
        <v>0</v>
      </c>
      <c r="H29" s="1">
        <f t="shared" si="1"/>
        <v>5.2631578947368418E-2</v>
      </c>
      <c r="I29" s="6">
        <f t="shared" si="2"/>
        <v>0</v>
      </c>
      <c r="J29" s="8">
        <f t="shared" si="3"/>
        <v>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3" t="s">
        <v>11</v>
      </c>
      <c r="AA29" s="4"/>
      <c r="AB29" s="4"/>
      <c r="AC29" s="4"/>
      <c r="AD29" s="4"/>
    </row>
    <row r="30" spans="1:30" x14ac:dyDescent="0.35">
      <c r="A30">
        <v>20</v>
      </c>
      <c r="B30" t="s">
        <v>135</v>
      </c>
      <c r="C30" t="s">
        <v>75</v>
      </c>
      <c r="D30">
        <v>1</v>
      </c>
      <c r="E30">
        <v>0</v>
      </c>
      <c r="F30">
        <v>1</v>
      </c>
      <c r="G30" s="1">
        <f t="shared" si="0"/>
        <v>0</v>
      </c>
      <c r="H30" s="1">
        <f t="shared" si="1"/>
        <v>5.2631578947368418E-2</v>
      </c>
      <c r="I30" s="6">
        <f t="shared" si="2"/>
        <v>0</v>
      </c>
      <c r="J30" s="8">
        <f t="shared" si="3"/>
        <v>0</v>
      </c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" t="s">
        <v>11</v>
      </c>
      <c r="AA30" s="4"/>
      <c r="AB30" s="4"/>
      <c r="AC30" s="4"/>
      <c r="AD30" s="4"/>
    </row>
    <row r="31" spans="1:30" x14ac:dyDescent="0.35">
      <c r="A31">
        <v>20</v>
      </c>
      <c r="B31" t="s">
        <v>136</v>
      </c>
      <c r="C31" t="s">
        <v>76</v>
      </c>
      <c r="D31">
        <v>1</v>
      </c>
      <c r="E31">
        <v>0</v>
      </c>
      <c r="F31">
        <v>1</v>
      </c>
      <c r="G31" s="1">
        <f t="shared" si="0"/>
        <v>0</v>
      </c>
      <c r="H31" s="1">
        <f t="shared" si="1"/>
        <v>5.2631578947368418E-2</v>
      </c>
      <c r="I31" s="6">
        <f t="shared" si="2"/>
        <v>0</v>
      </c>
      <c r="J31" s="8">
        <f t="shared" si="3"/>
        <v>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3" t="s">
        <v>11</v>
      </c>
      <c r="AA31" s="4"/>
      <c r="AB31" s="4"/>
      <c r="AC31" s="4"/>
      <c r="AD31" s="4"/>
    </row>
    <row r="32" spans="1:30" x14ac:dyDescent="0.35">
      <c r="D32">
        <f>SUM(D3:D31)</f>
        <v>190</v>
      </c>
      <c r="E32">
        <f>SUM(E3:E31)</f>
        <v>95</v>
      </c>
      <c r="F32">
        <f>SUM(F3:F31)</f>
        <v>95</v>
      </c>
    </row>
    <row r="33" spans="2:29" x14ac:dyDescent="0.35">
      <c r="B33" t="s">
        <v>18</v>
      </c>
      <c r="D33">
        <f>D32/10</f>
        <v>19</v>
      </c>
    </row>
    <row r="34" spans="2:29" ht="15" thickBot="1" x14ac:dyDescent="0.4"/>
    <row r="35" spans="2:29" x14ac:dyDescent="0.35">
      <c r="B35" s="148" t="s">
        <v>19</v>
      </c>
      <c r="C35" s="148"/>
      <c r="D35" s="148"/>
      <c r="G35" t="str" cm="1">
        <f t="array" ref="G35:Q35">TRANSPOSE(F36:F46)</f>
        <v>Capela</v>
      </c>
      <c r="H35" t="str">
        <v>Quim</v>
      </c>
      <c r="I35" t="str">
        <v>Vieira</v>
      </c>
      <c r="J35" t="str">
        <v>Edu</v>
      </c>
      <c r="K35" t="str">
        <v>Campos</v>
      </c>
      <c r="L35" t="str">
        <v>Dimas</v>
      </c>
      <c r="M35" t="str">
        <v>Zé Miguel</v>
      </c>
      <c r="N35" t="str">
        <v>Tigas</v>
      </c>
      <c r="O35" t="str">
        <v>Xico Sant.</v>
      </c>
      <c r="P35" t="str">
        <v>Gui M.</v>
      </c>
      <c r="Q35" t="str">
        <v>João S.</v>
      </c>
      <c r="S35" s="17">
        <v>45369</v>
      </c>
      <c r="T35" s="158" t="s">
        <v>43</v>
      </c>
      <c r="U35" s="158"/>
      <c r="V35" s="159"/>
      <c r="X35" s="148" t="s">
        <v>15</v>
      </c>
      <c r="Y35" s="148"/>
      <c r="Z35" s="148"/>
      <c r="AA35" s="11" t="s">
        <v>59</v>
      </c>
      <c r="AB35" s="11">
        <v>5</v>
      </c>
    </row>
    <row r="36" spans="2:29" x14ac:dyDescent="0.35">
      <c r="B36" s="5">
        <v>1</v>
      </c>
      <c r="C36" s="147">
        <f>+B36/$D$33</f>
        <v>5.2631578947368418E-2</v>
      </c>
      <c r="D36" s="147"/>
      <c r="F36" t="s">
        <v>8</v>
      </c>
      <c r="G36" s="16"/>
      <c r="H36" s="14">
        <f>G37</f>
        <v>45418</v>
      </c>
      <c r="I36" s="14">
        <f>G38</f>
        <v>45376</v>
      </c>
      <c r="J36" s="14">
        <v>45467</v>
      </c>
      <c r="K36" s="15"/>
      <c r="L36" s="15"/>
      <c r="M36" s="15"/>
      <c r="N36" s="15"/>
      <c r="O36" s="14" t="str">
        <f>G44</f>
        <v>18/mar e 13/mai</v>
      </c>
      <c r="P36" s="14">
        <v>45397</v>
      </c>
      <c r="Q36" s="14">
        <f>G46</f>
        <v>45502</v>
      </c>
      <c r="S36" s="18">
        <v>45376</v>
      </c>
      <c r="T36" s="160" t="s">
        <v>51</v>
      </c>
      <c r="U36" s="160"/>
      <c r="V36" s="161"/>
      <c r="X36" s="148" t="s">
        <v>14</v>
      </c>
      <c r="Y36" s="148"/>
      <c r="Z36" s="148"/>
      <c r="AA36" s="11" t="s">
        <v>13</v>
      </c>
      <c r="AB36" s="11">
        <v>4</v>
      </c>
    </row>
    <row r="37" spans="2:29" x14ac:dyDescent="0.35">
      <c r="B37" s="5">
        <v>2</v>
      </c>
      <c r="C37" s="147">
        <f t="shared" ref="C37:C54" si="4">+B37/$D$33</f>
        <v>0.10526315789473684</v>
      </c>
      <c r="D37" s="147"/>
      <c r="F37" t="s">
        <v>5</v>
      </c>
      <c r="G37" s="14">
        <v>45418</v>
      </c>
      <c r="H37" s="16"/>
      <c r="I37" s="15"/>
      <c r="J37" s="14">
        <f>H39</f>
        <v>45411</v>
      </c>
      <c r="K37" s="14">
        <v>45460</v>
      </c>
      <c r="L37" s="15"/>
      <c r="M37" s="15"/>
      <c r="N37" s="35">
        <v>45488</v>
      </c>
      <c r="O37" s="15"/>
      <c r="P37" s="15"/>
      <c r="Q37" s="15"/>
      <c r="S37" s="18">
        <v>45383</v>
      </c>
      <c r="T37" s="148" t="s">
        <v>54</v>
      </c>
      <c r="U37" s="148"/>
      <c r="V37" s="149"/>
      <c r="X37" s="148" t="s">
        <v>16</v>
      </c>
      <c r="Y37" s="148"/>
      <c r="Z37" s="148"/>
      <c r="AA37" s="11" t="s">
        <v>9</v>
      </c>
      <c r="AB37" s="11">
        <v>8</v>
      </c>
    </row>
    <row r="38" spans="2:29" x14ac:dyDescent="0.35">
      <c r="B38" s="5">
        <v>3</v>
      </c>
      <c r="C38" s="147">
        <f t="shared" si="4"/>
        <v>0.15789473684210525</v>
      </c>
      <c r="D38" s="147"/>
      <c r="F38" t="s">
        <v>7</v>
      </c>
      <c r="G38" s="14">
        <v>45376</v>
      </c>
      <c r="H38" s="15"/>
      <c r="I38" s="16"/>
      <c r="J38" s="15"/>
      <c r="K38" s="14">
        <v>45476</v>
      </c>
      <c r="L38" s="15"/>
      <c r="M38" s="14">
        <v>45446</v>
      </c>
      <c r="N38" s="15"/>
      <c r="O38" s="14">
        <v>45390</v>
      </c>
      <c r="P38" s="15"/>
      <c r="Q38" s="15"/>
      <c r="S38" s="18">
        <v>45390</v>
      </c>
      <c r="T38" s="148" t="s">
        <v>55</v>
      </c>
      <c r="U38" s="148"/>
      <c r="V38" s="149"/>
      <c r="X38" s="148" t="s">
        <v>24</v>
      </c>
      <c r="Y38" s="148"/>
      <c r="Z38" s="148"/>
      <c r="AA38" s="11" t="s">
        <v>67</v>
      </c>
      <c r="AB38" s="11">
        <v>3</v>
      </c>
    </row>
    <row r="39" spans="2:29" x14ac:dyDescent="0.35">
      <c r="B39" s="5">
        <v>4</v>
      </c>
      <c r="C39" s="147">
        <f t="shared" si="4"/>
        <v>0.21052631578947367</v>
      </c>
      <c r="D39" s="147"/>
      <c r="F39" t="s">
        <v>10</v>
      </c>
      <c r="G39" s="14">
        <v>45467</v>
      </c>
      <c r="H39" s="14">
        <v>45411</v>
      </c>
      <c r="I39" s="15"/>
      <c r="J39" s="16"/>
      <c r="K39" s="15"/>
      <c r="L39" s="14">
        <v>45453</v>
      </c>
      <c r="M39" s="15"/>
      <c r="N39" s="15"/>
      <c r="O39" s="15"/>
      <c r="P39" s="15"/>
      <c r="Q39" s="15"/>
      <c r="S39" s="18">
        <v>45397</v>
      </c>
      <c r="T39" s="148" t="s">
        <v>53</v>
      </c>
      <c r="U39" s="148"/>
      <c r="V39" s="149"/>
    </row>
    <row r="40" spans="2:29" ht="15" thickBot="1" x14ac:dyDescent="0.4">
      <c r="B40" s="5">
        <v>5</v>
      </c>
      <c r="C40" s="147">
        <f t="shared" si="4"/>
        <v>0.26315789473684209</v>
      </c>
      <c r="D40" s="147"/>
      <c r="F40" t="s">
        <v>6</v>
      </c>
      <c r="G40" s="15"/>
      <c r="H40" s="14">
        <v>45460</v>
      </c>
      <c r="I40" s="14">
        <v>45476</v>
      </c>
      <c r="J40" s="15"/>
      <c r="K40" s="16"/>
      <c r="L40" s="15"/>
      <c r="M40" s="15"/>
      <c r="N40" s="14">
        <v>45432</v>
      </c>
      <c r="O40" s="15"/>
      <c r="P40" s="15"/>
      <c r="Q40" s="15"/>
      <c r="S40" s="18">
        <v>45404</v>
      </c>
      <c r="T40" s="148" t="s">
        <v>52</v>
      </c>
      <c r="U40" s="148"/>
      <c r="V40" s="149"/>
      <c r="X40" s="152" t="s">
        <v>60</v>
      </c>
      <c r="Y40" s="152"/>
      <c r="Z40" s="152"/>
      <c r="AA40" s="152"/>
      <c r="AB40" s="152"/>
      <c r="AC40" s="152"/>
    </row>
    <row r="41" spans="2:29" x14ac:dyDescent="0.35">
      <c r="B41" s="5">
        <v>6</v>
      </c>
      <c r="C41" s="147">
        <f t="shared" si="4"/>
        <v>0.31578947368421051</v>
      </c>
      <c r="D41" s="147"/>
      <c r="F41" t="s">
        <v>29</v>
      </c>
      <c r="G41" s="15"/>
      <c r="H41" s="15"/>
      <c r="I41" s="15"/>
      <c r="J41" s="14">
        <v>45453</v>
      </c>
      <c r="K41" s="15"/>
      <c r="L41" s="16"/>
      <c r="M41" s="14">
        <v>45481</v>
      </c>
      <c r="N41" s="15"/>
      <c r="O41" s="14">
        <v>45495</v>
      </c>
      <c r="P41" s="15"/>
      <c r="Q41" s="15"/>
      <c r="S41" s="18">
        <v>45411</v>
      </c>
      <c r="T41" s="148" t="s">
        <v>56</v>
      </c>
      <c r="U41" s="148"/>
      <c r="V41" s="149"/>
      <c r="X41" s="19" t="s">
        <v>61</v>
      </c>
      <c r="Y41" s="20" t="s">
        <v>63</v>
      </c>
      <c r="Z41" s="21" t="s">
        <v>1</v>
      </c>
      <c r="AA41" s="26" t="s">
        <v>62</v>
      </c>
      <c r="AB41" s="26" t="s">
        <v>63</v>
      </c>
      <c r="AC41" s="27" t="s">
        <v>1</v>
      </c>
    </row>
    <row r="42" spans="2:29" x14ac:dyDescent="0.35">
      <c r="B42" s="5">
        <v>7</v>
      </c>
      <c r="C42" s="147">
        <f t="shared" si="4"/>
        <v>0.36842105263157893</v>
      </c>
      <c r="D42" s="147"/>
      <c r="F42" t="s">
        <v>13</v>
      </c>
      <c r="G42" s="15"/>
      <c r="H42" s="15"/>
      <c r="I42" s="14">
        <v>45446</v>
      </c>
      <c r="J42" s="15"/>
      <c r="K42" s="15"/>
      <c r="L42" s="14">
        <v>45481</v>
      </c>
      <c r="M42" s="16"/>
      <c r="N42" s="15"/>
      <c r="O42" s="15"/>
      <c r="P42" s="15"/>
      <c r="Q42" s="15"/>
      <c r="S42" s="18">
        <v>45418</v>
      </c>
      <c r="T42" s="148" t="s">
        <v>42</v>
      </c>
      <c r="U42" s="148"/>
      <c r="V42" s="149"/>
      <c r="X42" s="22">
        <v>1</v>
      </c>
      <c r="Y42" t="s">
        <v>8</v>
      </c>
      <c r="Z42" s="23">
        <v>19</v>
      </c>
      <c r="AA42">
        <v>11</v>
      </c>
      <c r="AB42" t="s">
        <v>40</v>
      </c>
      <c r="AC42" s="29">
        <v>8</v>
      </c>
    </row>
    <row r="43" spans="2:29" x14ac:dyDescent="0.35">
      <c r="B43" s="5">
        <v>8</v>
      </c>
      <c r="C43" s="147">
        <f t="shared" si="4"/>
        <v>0.42105263157894735</v>
      </c>
      <c r="D43" s="147"/>
      <c r="F43" t="s">
        <v>9</v>
      </c>
      <c r="G43" s="15"/>
      <c r="H43" s="35">
        <v>45488</v>
      </c>
      <c r="I43" s="15"/>
      <c r="J43" s="15"/>
      <c r="K43" s="14">
        <v>45432</v>
      </c>
      <c r="L43" s="15"/>
      <c r="M43" s="15"/>
      <c r="N43" s="16"/>
      <c r="O43" s="15"/>
      <c r="P43" s="15"/>
      <c r="Q43" s="15"/>
      <c r="S43" s="18">
        <v>45425</v>
      </c>
      <c r="T43" s="148" t="s">
        <v>43</v>
      </c>
      <c r="U43" s="148"/>
      <c r="V43" s="149"/>
      <c r="X43" s="22">
        <v>1</v>
      </c>
      <c r="Y43" t="s">
        <v>5</v>
      </c>
      <c r="Z43" s="23">
        <v>19</v>
      </c>
      <c r="AA43">
        <v>12</v>
      </c>
      <c r="AB43" t="s">
        <v>34</v>
      </c>
      <c r="AC43" s="29">
        <v>5</v>
      </c>
    </row>
    <row r="44" spans="2:29" x14ac:dyDescent="0.35">
      <c r="B44" s="5">
        <v>9</v>
      </c>
      <c r="C44" s="147">
        <f t="shared" si="4"/>
        <v>0.47368421052631576</v>
      </c>
      <c r="D44" s="147"/>
      <c r="F44" t="s">
        <v>39</v>
      </c>
      <c r="G44" s="14" t="s">
        <v>50</v>
      </c>
      <c r="H44" s="15"/>
      <c r="I44" s="14">
        <f>O38</f>
        <v>45390</v>
      </c>
      <c r="J44" s="15"/>
      <c r="K44" s="15"/>
      <c r="L44" s="14">
        <v>45495</v>
      </c>
      <c r="M44" s="15"/>
      <c r="N44" s="15"/>
      <c r="O44" s="16"/>
      <c r="P44" s="15"/>
      <c r="Q44" s="15"/>
      <c r="S44" s="18">
        <v>45432</v>
      </c>
      <c r="T44" s="148" t="s">
        <v>44</v>
      </c>
      <c r="U44" s="148"/>
      <c r="V44" s="149"/>
      <c r="X44" s="22">
        <v>3</v>
      </c>
      <c r="Y44" t="s">
        <v>7</v>
      </c>
      <c r="Z44" s="23">
        <v>18</v>
      </c>
      <c r="AA44">
        <v>13</v>
      </c>
      <c r="AB44" t="s">
        <v>64</v>
      </c>
      <c r="AC44" s="29">
        <v>4</v>
      </c>
    </row>
    <row r="45" spans="2:29" x14ac:dyDescent="0.35">
      <c r="B45" s="5">
        <v>10</v>
      </c>
      <c r="C45" s="147">
        <f t="shared" si="4"/>
        <v>0.52631578947368418</v>
      </c>
      <c r="D45" s="147"/>
      <c r="F45" t="s">
        <v>40</v>
      </c>
      <c r="G45" s="14">
        <f>P36</f>
        <v>45397</v>
      </c>
      <c r="H45" s="15"/>
      <c r="I45" s="15"/>
      <c r="J45" s="15"/>
      <c r="K45" s="15"/>
      <c r="L45" s="15"/>
      <c r="M45" s="15"/>
      <c r="N45" s="15"/>
      <c r="O45" s="15"/>
      <c r="P45" s="16"/>
      <c r="Q45" s="15"/>
      <c r="S45" s="18">
        <v>45439</v>
      </c>
      <c r="T45" s="148" t="s">
        <v>41</v>
      </c>
      <c r="U45" s="148"/>
      <c r="V45" s="149"/>
      <c r="X45" s="22">
        <v>4</v>
      </c>
      <c r="Y45" t="s">
        <v>6</v>
      </c>
      <c r="Z45" s="23">
        <v>17</v>
      </c>
      <c r="AA45">
        <v>13</v>
      </c>
      <c r="AB45" t="s">
        <v>25</v>
      </c>
      <c r="AC45" s="29">
        <v>4</v>
      </c>
    </row>
    <row r="46" spans="2:29" x14ac:dyDescent="0.35">
      <c r="B46" s="5">
        <v>11</v>
      </c>
      <c r="C46" s="147">
        <f t="shared" si="4"/>
        <v>0.57894736842105265</v>
      </c>
      <c r="D46" s="147"/>
      <c r="F46" t="s">
        <v>79</v>
      </c>
      <c r="G46" s="14">
        <v>45502</v>
      </c>
      <c r="H46" s="15"/>
      <c r="I46" s="15"/>
      <c r="J46" s="15"/>
      <c r="K46" s="15"/>
      <c r="L46" s="15"/>
      <c r="M46" s="15"/>
      <c r="N46" s="15"/>
      <c r="O46" s="15"/>
      <c r="P46" s="15"/>
      <c r="Q46" s="16"/>
      <c r="S46" s="18">
        <v>45446</v>
      </c>
      <c r="T46" s="148" t="s">
        <v>45</v>
      </c>
      <c r="U46" s="148"/>
      <c r="V46" s="149"/>
      <c r="X46" s="22">
        <v>5</v>
      </c>
      <c r="Y46" t="s">
        <v>29</v>
      </c>
      <c r="Z46" s="23">
        <v>16</v>
      </c>
      <c r="AA46">
        <v>13</v>
      </c>
      <c r="AB46" t="s">
        <v>36</v>
      </c>
      <c r="AC46" s="29">
        <v>4</v>
      </c>
    </row>
    <row r="47" spans="2:29" x14ac:dyDescent="0.35">
      <c r="B47" s="5">
        <v>12</v>
      </c>
      <c r="C47" s="147">
        <f t="shared" si="4"/>
        <v>0.63157894736842102</v>
      </c>
      <c r="D47" s="147"/>
      <c r="G47">
        <f>COUNTA(G36:G46)</f>
        <v>6</v>
      </c>
      <c r="H47">
        <f t="shared" ref="H47:Q47" si="5">COUNTA(H36:H46)</f>
        <v>4</v>
      </c>
      <c r="I47">
        <f t="shared" si="5"/>
        <v>4</v>
      </c>
      <c r="J47">
        <f t="shared" si="5"/>
        <v>3</v>
      </c>
      <c r="K47">
        <f t="shared" si="5"/>
        <v>3</v>
      </c>
      <c r="L47">
        <f t="shared" si="5"/>
        <v>3</v>
      </c>
      <c r="M47">
        <f t="shared" si="5"/>
        <v>2</v>
      </c>
      <c r="N47">
        <f t="shared" si="5"/>
        <v>2</v>
      </c>
      <c r="O47">
        <f t="shared" si="5"/>
        <v>3</v>
      </c>
      <c r="P47">
        <f t="shared" si="5"/>
        <v>1</v>
      </c>
      <c r="Q47">
        <f t="shared" si="5"/>
        <v>1</v>
      </c>
      <c r="S47" s="18">
        <v>45453</v>
      </c>
      <c r="T47" s="148" t="s">
        <v>46</v>
      </c>
      <c r="U47" s="148"/>
      <c r="V47" s="149"/>
      <c r="X47" s="22">
        <v>6</v>
      </c>
      <c r="Y47" t="s">
        <v>10</v>
      </c>
      <c r="Z47" s="23">
        <v>15</v>
      </c>
      <c r="AA47">
        <v>16</v>
      </c>
      <c r="AB47" t="s">
        <v>67</v>
      </c>
      <c r="AC47" s="29">
        <v>3</v>
      </c>
    </row>
    <row r="48" spans="2:29" x14ac:dyDescent="0.35">
      <c r="B48" s="5">
        <v>13</v>
      </c>
      <c r="C48" s="147">
        <f t="shared" si="4"/>
        <v>0.68421052631578949</v>
      </c>
      <c r="D48" s="147"/>
      <c r="S48" s="18">
        <v>45460</v>
      </c>
      <c r="T48" s="148" t="s">
        <v>47</v>
      </c>
      <c r="U48" s="148"/>
      <c r="V48" s="149"/>
      <c r="X48" s="22">
        <v>7</v>
      </c>
      <c r="Y48" t="s">
        <v>13</v>
      </c>
      <c r="Z48" s="23">
        <v>13</v>
      </c>
      <c r="AA48">
        <v>17</v>
      </c>
      <c r="AB48" t="s">
        <v>66</v>
      </c>
      <c r="AC48" s="29">
        <v>2</v>
      </c>
    </row>
    <row r="49" spans="2:29" x14ac:dyDescent="0.35">
      <c r="B49" s="5">
        <v>14</v>
      </c>
      <c r="C49" s="147">
        <f t="shared" si="4"/>
        <v>0.73684210526315785</v>
      </c>
      <c r="D49" s="147"/>
      <c r="S49" s="18">
        <v>45467</v>
      </c>
      <c r="T49" s="148" t="s">
        <v>49</v>
      </c>
      <c r="U49" s="148"/>
      <c r="V49" s="149"/>
      <c r="X49" s="22">
        <v>8</v>
      </c>
      <c r="Y49" t="s">
        <v>9</v>
      </c>
      <c r="Z49" s="23">
        <v>12</v>
      </c>
      <c r="AA49">
        <v>17</v>
      </c>
      <c r="AB49" t="s">
        <v>65</v>
      </c>
      <c r="AC49" s="29">
        <v>2</v>
      </c>
    </row>
    <row r="50" spans="2:29" x14ac:dyDescent="0.35">
      <c r="B50" s="5">
        <v>15</v>
      </c>
      <c r="C50" s="147">
        <f t="shared" si="4"/>
        <v>0.78947368421052633</v>
      </c>
      <c r="D50" s="147"/>
      <c r="S50" s="33">
        <v>45476</v>
      </c>
      <c r="T50" s="153" t="s">
        <v>48</v>
      </c>
      <c r="U50" s="153"/>
      <c r="V50" s="154"/>
      <c r="X50" s="22">
        <v>9</v>
      </c>
      <c r="Y50" t="s">
        <v>59</v>
      </c>
      <c r="Z50" s="23">
        <v>9</v>
      </c>
      <c r="AA50">
        <v>19</v>
      </c>
      <c r="AB50" t="s">
        <v>68</v>
      </c>
      <c r="AC50" s="29">
        <v>1</v>
      </c>
    </row>
    <row r="51" spans="2:29" ht="15" thickBot="1" x14ac:dyDescent="0.4">
      <c r="B51" s="5">
        <v>16</v>
      </c>
      <c r="C51" s="147">
        <f t="shared" si="4"/>
        <v>0.84210526315789469</v>
      </c>
      <c r="D51" s="147"/>
      <c r="S51" s="18">
        <v>45481</v>
      </c>
      <c r="T51" s="148" t="s">
        <v>58</v>
      </c>
      <c r="U51" s="148"/>
      <c r="V51" s="149"/>
      <c r="X51" s="24">
        <v>9</v>
      </c>
      <c r="Y51" s="37" t="s">
        <v>31</v>
      </c>
      <c r="Z51" s="25">
        <v>9</v>
      </c>
      <c r="AA51">
        <v>19</v>
      </c>
      <c r="AB51" t="s">
        <v>69</v>
      </c>
      <c r="AC51" s="29">
        <v>1</v>
      </c>
    </row>
    <row r="52" spans="2:29" x14ac:dyDescent="0.35">
      <c r="B52" s="5">
        <v>17</v>
      </c>
      <c r="C52" s="147">
        <f t="shared" si="4"/>
        <v>0.89473684210526316</v>
      </c>
      <c r="D52" s="147"/>
      <c r="S52" s="36">
        <v>45488</v>
      </c>
      <c r="T52" s="155" t="s">
        <v>77</v>
      </c>
      <c r="U52" s="155"/>
      <c r="V52" s="156"/>
      <c r="AA52" s="28">
        <v>19</v>
      </c>
      <c r="AB52" t="s">
        <v>70</v>
      </c>
      <c r="AC52" s="29">
        <v>1</v>
      </c>
    </row>
    <row r="53" spans="2:29" x14ac:dyDescent="0.35">
      <c r="B53" s="5">
        <v>18</v>
      </c>
      <c r="C53" s="147">
        <f t="shared" si="4"/>
        <v>0.94736842105263153</v>
      </c>
      <c r="D53" s="147"/>
      <c r="O53" s="15"/>
      <c r="S53" s="18">
        <v>45495</v>
      </c>
      <c r="T53" s="148" t="s">
        <v>78</v>
      </c>
      <c r="U53" s="148"/>
      <c r="V53" s="149"/>
      <c r="AA53" s="28">
        <v>19</v>
      </c>
      <c r="AB53" t="s">
        <v>28</v>
      </c>
      <c r="AC53" s="29">
        <v>1</v>
      </c>
    </row>
    <row r="54" spans="2:29" ht="15" thickBot="1" x14ac:dyDescent="0.4">
      <c r="B54" s="5">
        <v>19</v>
      </c>
      <c r="C54" s="147">
        <f t="shared" si="4"/>
        <v>1</v>
      </c>
      <c r="D54" s="147"/>
      <c r="O54" s="15"/>
      <c r="S54" s="34">
        <v>45502</v>
      </c>
      <c r="T54" s="150" t="s">
        <v>80</v>
      </c>
      <c r="U54" s="150"/>
      <c r="V54" s="151"/>
      <c r="AA54" s="28">
        <v>19</v>
      </c>
      <c r="AB54" t="s">
        <v>71</v>
      </c>
      <c r="AC54" s="29">
        <v>1</v>
      </c>
    </row>
    <row r="55" spans="2:29" x14ac:dyDescent="0.35">
      <c r="O55" s="15"/>
      <c r="AA55" s="28">
        <v>19</v>
      </c>
      <c r="AB55" t="s">
        <v>72</v>
      </c>
      <c r="AC55" s="29">
        <v>1</v>
      </c>
    </row>
    <row r="56" spans="2:29" x14ac:dyDescent="0.35">
      <c r="O56" s="15"/>
      <c r="AA56" s="28">
        <v>19</v>
      </c>
      <c r="AB56" t="s">
        <v>33</v>
      </c>
      <c r="AC56" s="29">
        <v>1</v>
      </c>
    </row>
    <row r="57" spans="2:29" x14ac:dyDescent="0.35">
      <c r="O57" s="15"/>
      <c r="AA57" s="28">
        <v>19</v>
      </c>
      <c r="AB57" t="s">
        <v>73</v>
      </c>
      <c r="AC57" s="29">
        <v>1</v>
      </c>
    </row>
    <row r="58" spans="2:29" x14ac:dyDescent="0.35">
      <c r="O58" s="15"/>
      <c r="AA58" s="28">
        <v>19</v>
      </c>
      <c r="AB58" t="s">
        <v>74</v>
      </c>
      <c r="AC58" s="29">
        <v>1</v>
      </c>
    </row>
    <row r="59" spans="2:29" x14ac:dyDescent="0.35">
      <c r="O59" s="15"/>
      <c r="AA59" s="28">
        <v>19</v>
      </c>
      <c r="AB59" t="s">
        <v>75</v>
      </c>
      <c r="AC59" s="29">
        <v>1</v>
      </c>
    </row>
    <row r="60" spans="2:29" x14ac:dyDescent="0.35">
      <c r="O60" s="15"/>
      <c r="AA60" s="30">
        <v>19</v>
      </c>
      <c r="AB60" s="31" t="s">
        <v>76</v>
      </c>
      <c r="AC60" s="32">
        <v>1</v>
      </c>
    </row>
    <row r="61" spans="2:29" x14ac:dyDescent="0.35">
      <c r="O61" s="15"/>
    </row>
    <row r="62" spans="2:29" x14ac:dyDescent="0.35">
      <c r="O62" s="15"/>
    </row>
    <row r="63" spans="2:29" x14ac:dyDescent="0.35">
      <c r="O63" s="15"/>
    </row>
    <row r="67" spans="8:19" x14ac:dyDescent="0.35"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83" spans="4:19" x14ac:dyDescent="0.35"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5" spans="4:19" x14ac:dyDescent="0.35"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</sheetData>
  <autoFilter ref="A2:AD2" xr:uid="{F669C54E-4432-44E3-9B8D-70A3A3C42C24}">
    <sortState xmlns:xlrd2="http://schemas.microsoft.com/office/spreadsheetml/2017/richdata2" ref="A3:AD33">
      <sortCondition descending="1" ref="J2"/>
    </sortState>
  </autoFilter>
  <sortState xmlns:xlrd2="http://schemas.microsoft.com/office/spreadsheetml/2017/richdata2" ref="A3:AD31">
    <sortCondition descending="1" ref="J3:J31"/>
  </sortState>
  <mergeCells count="46">
    <mergeCell ref="C44:D44"/>
    <mergeCell ref="C45:D45"/>
    <mergeCell ref="T39:V39"/>
    <mergeCell ref="B35:D35"/>
    <mergeCell ref="T44:V44"/>
    <mergeCell ref="T45:V45"/>
    <mergeCell ref="C39:D39"/>
    <mergeCell ref="C40:D40"/>
    <mergeCell ref="C41:D41"/>
    <mergeCell ref="C42:D42"/>
    <mergeCell ref="C43:D43"/>
    <mergeCell ref="A1:AD1"/>
    <mergeCell ref="X38:Z38"/>
    <mergeCell ref="X37:Z37"/>
    <mergeCell ref="X36:Z36"/>
    <mergeCell ref="X35:Z35"/>
    <mergeCell ref="T35:V35"/>
    <mergeCell ref="T36:V36"/>
    <mergeCell ref="T37:V37"/>
    <mergeCell ref="T38:V38"/>
    <mergeCell ref="C36:D36"/>
    <mergeCell ref="C37:D37"/>
    <mergeCell ref="C38:D38"/>
    <mergeCell ref="T53:V53"/>
    <mergeCell ref="T54:V54"/>
    <mergeCell ref="X40:AC40"/>
    <mergeCell ref="T50:V50"/>
    <mergeCell ref="T51:V51"/>
    <mergeCell ref="T40:V40"/>
    <mergeCell ref="T52:V52"/>
    <mergeCell ref="T43:V43"/>
    <mergeCell ref="T49:V49"/>
    <mergeCell ref="T48:V48"/>
    <mergeCell ref="T47:V47"/>
    <mergeCell ref="T46:V46"/>
    <mergeCell ref="T41:V41"/>
    <mergeCell ref="T42:V42"/>
    <mergeCell ref="C51:D51"/>
    <mergeCell ref="C52:D52"/>
    <mergeCell ref="C53:D53"/>
    <mergeCell ref="C54:D54"/>
    <mergeCell ref="C46:D46"/>
    <mergeCell ref="C47:D47"/>
    <mergeCell ref="C48:D48"/>
    <mergeCell ref="C49:D49"/>
    <mergeCell ref="C50:D5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2DC72-DECA-4EC3-81FA-61EECAF722CA}">
  <sheetPr>
    <tabColor theme="4" tint="0.39997558519241921"/>
  </sheetPr>
  <dimension ref="A1:AF89"/>
  <sheetViews>
    <sheetView zoomScale="50" zoomScaleNormal="50" workbookViewId="0">
      <selection sqref="A1:AD1"/>
    </sheetView>
  </sheetViews>
  <sheetFormatPr defaultRowHeight="14.5" x14ac:dyDescent="0.35"/>
  <cols>
    <col min="2" max="2" width="25.6328125" bestFit="1" customWidth="1"/>
    <col min="3" max="3" width="25.6328125" customWidth="1"/>
    <col min="7" max="8" width="8.7265625" customWidth="1"/>
  </cols>
  <sheetData>
    <row r="1" spans="1:32" ht="18.5" x14ac:dyDescent="0.45">
      <c r="A1" s="157" t="s">
        <v>227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</row>
    <row r="2" spans="1:32" x14ac:dyDescent="0.35">
      <c r="A2" t="s">
        <v>20</v>
      </c>
      <c r="B2" t="s">
        <v>0</v>
      </c>
      <c r="C2" t="s">
        <v>96</v>
      </c>
      <c r="D2" t="s">
        <v>1</v>
      </c>
      <c r="E2" t="s">
        <v>2</v>
      </c>
      <c r="F2" t="s">
        <v>17</v>
      </c>
      <c r="G2" t="s">
        <v>3</v>
      </c>
      <c r="H2" t="s">
        <v>19</v>
      </c>
      <c r="I2" t="s">
        <v>22</v>
      </c>
      <c r="J2" t="s">
        <v>21</v>
      </c>
      <c r="L2" s="15">
        <v>45540</v>
      </c>
      <c r="M2" s="15">
        <v>45551</v>
      </c>
      <c r="N2" s="15">
        <v>45558</v>
      </c>
      <c r="O2" s="15">
        <v>45565</v>
      </c>
      <c r="P2" s="15">
        <v>45572</v>
      </c>
      <c r="Q2" s="15">
        <v>45579</v>
      </c>
      <c r="R2" s="15">
        <v>45586</v>
      </c>
      <c r="S2" s="15">
        <v>45593</v>
      </c>
      <c r="T2" s="15">
        <v>45600</v>
      </c>
      <c r="U2" s="15">
        <v>45607</v>
      </c>
      <c r="V2" s="15">
        <v>45615</v>
      </c>
      <c r="W2" s="15">
        <v>45621</v>
      </c>
      <c r="X2" s="15">
        <v>45629</v>
      </c>
      <c r="Y2" s="15">
        <v>45635</v>
      </c>
      <c r="Z2" s="15">
        <v>45643</v>
      </c>
      <c r="AA2" s="15">
        <v>45663</v>
      </c>
      <c r="AB2" s="2">
        <v>45670</v>
      </c>
      <c r="AC2" s="2">
        <v>45677</v>
      </c>
      <c r="AD2" s="2">
        <v>45685</v>
      </c>
    </row>
    <row r="3" spans="1:32" x14ac:dyDescent="0.35">
      <c r="A3">
        <v>1</v>
      </c>
      <c r="B3" t="s">
        <v>91</v>
      </c>
      <c r="C3" t="s">
        <v>8</v>
      </c>
      <c r="D3">
        <v>18</v>
      </c>
      <c r="E3">
        <v>13</v>
      </c>
      <c r="F3">
        <v>5</v>
      </c>
      <c r="G3" s="1">
        <f t="shared" ref="G3:G35" si="0">E3/D3</f>
        <v>0.72222222222222221</v>
      </c>
      <c r="H3" s="1">
        <f t="shared" ref="H3:H35" si="1">VLOOKUP(D3,$B$40:$C$57,2,FALSE)</f>
        <v>0.94736842105263153</v>
      </c>
      <c r="I3" s="6">
        <f>+E3/D3</f>
        <v>0.72222222222222221</v>
      </c>
      <c r="J3" s="12">
        <f t="shared" ref="J3:J35" si="2">I3*H3</f>
        <v>0.68421052631578938</v>
      </c>
      <c r="L3" s="3" t="s">
        <v>11</v>
      </c>
      <c r="M3" s="3" t="s">
        <v>12</v>
      </c>
      <c r="N3" s="3" t="s">
        <v>12</v>
      </c>
      <c r="O3" s="3" t="s">
        <v>12</v>
      </c>
      <c r="P3" s="4"/>
      <c r="Q3" s="3" t="s">
        <v>11</v>
      </c>
      <c r="R3" s="3" t="s">
        <v>11</v>
      </c>
      <c r="S3" s="3" t="s">
        <v>12</v>
      </c>
      <c r="T3" s="3" t="s">
        <v>12</v>
      </c>
      <c r="U3" s="3" t="s">
        <v>12</v>
      </c>
      <c r="V3" s="3" t="s">
        <v>12</v>
      </c>
      <c r="W3" s="3" t="s">
        <v>12</v>
      </c>
      <c r="X3" s="3" t="s">
        <v>11</v>
      </c>
      <c r="Y3" s="3" t="s">
        <v>12</v>
      </c>
      <c r="Z3" s="3" t="s">
        <v>12</v>
      </c>
      <c r="AA3" s="3" t="s">
        <v>12</v>
      </c>
      <c r="AB3" s="3" t="s">
        <v>12</v>
      </c>
      <c r="AC3" s="3" t="s">
        <v>11</v>
      </c>
      <c r="AD3" s="3" t="s">
        <v>12</v>
      </c>
      <c r="AF3" s="28"/>
    </row>
    <row r="4" spans="1:32" x14ac:dyDescent="0.35">
      <c r="A4">
        <v>2</v>
      </c>
      <c r="B4" t="s">
        <v>99</v>
      </c>
      <c r="C4" t="s">
        <v>100</v>
      </c>
      <c r="D4">
        <v>16</v>
      </c>
      <c r="E4">
        <v>9</v>
      </c>
      <c r="F4">
        <v>7</v>
      </c>
      <c r="G4" s="1">
        <f t="shared" si="0"/>
        <v>0.5625</v>
      </c>
      <c r="H4" s="1">
        <f t="shared" si="1"/>
        <v>0.84210526315789469</v>
      </c>
      <c r="I4" s="6">
        <f t="shared" ref="I4:I35" si="3">+E4/D4</f>
        <v>0.5625</v>
      </c>
      <c r="J4" s="7">
        <f t="shared" si="2"/>
        <v>0.47368421052631576</v>
      </c>
      <c r="L4" s="4"/>
      <c r="M4" s="3" t="s">
        <v>11</v>
      </c>
      <c r="N4" s="3" t="s">
        <v>12</v>
      </c>
      <c r="O4" s="3" t="s">
        <v>12</v>
      </c>
      <c r="P4" s="3" t="s">
        <v>11</v>
      </c>
      <c r="Q4" s="3" t="s">
        <v>12</v>
      </c>
      <c r="R4" s="3" t="s">
        <v>12</v>
      </c>
      <c r="S4" s="3" t="s">
        <v>11</v>
      </c>
      <c r="T4" s="3" t="s">
        <v>12</v>
      </c>
      <c r="U4" s="3" t="s">
        <v>12</v>
      </c>
      <c r="V4" s="3" t="s">
        <v>12</v>
      </c>
      <c r="W4" s="3" t="s">
        <v>11</v>
      </c>
      <c r="X4" s="3" t="s">
        <v>11</v>
      </c>
      <c r="Y4" s="3" t="s">
        <v>11</v>
      </c>
      <c r="Z4" s="4"/>
      <c r="AA4" s="4"/>
      <c r="AB4" s="3" t="s">
        <v>12</v>
      </c>
      <c r="AC4" s="3" t="s">
        <v>12</v>
      </c>
      <c r="AD4" s="3" t="s">
        <v>11</v>
      </c>
    </row>
    <row r="5" spans="1:32" x14ac:dyDescent="0.35">
      <c r="A5">
        <v>3</v>
      </c>
      <c r="B5" t="s">
        <v>116</v>
      </c>
      <c r="C5" t="s">
        <v>5</v>
      </c>
      <c r="D5">
        <v>15</v>
      </c>
      <c r="E5">
        <v>8</v>
      </c>
      <c r="F5">
        <v>7</v>
      </c>
      <c r="G5" s="1">
        <f t="shared" si="0"/>
        <v>0.53333333333333333</v>
      </c>
      <c r="H5" s="1">
        <f t="shared" si="1"/>
        <v>0.78947368421052633</v>
      </c>
      <c r="I5" s="6">
        <f t="shared" si="3"/>
        <v>0.53333333333333333</v>
      </c>
      <c r="J5" s="7">
        <f t="shared" si="2"/>
        <v>0.42105263157894735</v>
      </c>
      <c r="L5" s="4"/>
      <c r="M5" s="4"/>
      <c r="N5" s="4"/>
      <c r="O5" s="4"/>
      <c r="P5" s="3" t="s">
        <v>12</v>
      </c>
      <c r="Q5" s="3" t="s">
        <v>11</v>
      </c>
      <c r="R5" s="3" t="s">
        <v>11</v>
      </c>
      <c r="S5" s="3" t="s">
        <v>12</v>
      </c>
      <c r="T5" s="3" t="s">
        <v>11</v>
      </c>
      <c r="U5" s="3" t="s">
        <v>12</v>
      </c>
      <c r="V5" s="3" t="s">
        <v>12</v>
      </c>
      <c r="W5" s="3" t="s">
        <v>11</v>
      </c>
      <c r="X5" s="3" t="s">
        <v>12</v>
      </c>
      <c r="Y5" s="3" t="s">
        <v>12</v>
      </c>
      <c r="Z5" s="3" t="s">
        <v>11</v>
      </c>
      <c r="AA5" s="3" t="s">
        <v>12</v>
      </c>
      <c r="AB5" s="3" t="s">
        <v>12</v>
      </c>
      <c r="AC5" s="3" t="s">
        <v>11</v>
      </c>
      <c r="AD5" s="3" t="s">
        <v>11</v>
      </c>
    </row>
    <row r="6" spans="1:32" x14ac:dyDescent="0.35">
      <c r="A6">
        <v>3</v>
      </c>
      <c r="B6" t="s">
        <v>90</v>
      </c>
      <c r="C6" t="s">
        <v>6</v>
      </c>
      <c r="D6">
        <v>15</v>
      </c>
      <c r="E6">
        <v>8</v>
      </c>
      <c r="F6">
        <v>7</v>
      </c>
      <c r="G6" s="1">
        <f t="shared" si="0"/>
        <v>0.53333333333333333</v>
      </c>
      <c r="H6" s="1">
        <f t="shared" si="1"/>
        <v>0.78947368421052633</v>
      </c>
      <c r="I6" s="6">
        <f t="shared" si="3"/>
        <v>0.53333333333333333</v>
      </c>
      <c r="J6" s="7">
        <f t="shared" si="2"/>
        <v>0.42105263157894735</v>
      </c>
      <c r="L6" s="3" t="s">
        <v>11</v>
      </c>
      <c r="M6" s="3" t="s">
        <v>11</v>
      </c>
      <c r="N6" s="4"/>
      <c r="O6" s="3" t="s">
        <v>12</v>
      </c>
      <c r="P6" s="3" t="s">
        <v>12</v>
      </c>
      <c r="Q6" s="3" t="s">
        <v>12</v>
      </c>
      <c r="R6" s="4"/>
      <c r="S6" s="4"/>
      <c r="T6" s="3" t="s">
        <v>11</v>
      </c>
      <c r="U6" s="3" t="s">
        <v>12</v>
      </c>
      <c r="V6" s="4"/>
      <c r="W6" s="3" t="s">
        <v>11</v>
      </c>
      <c r="X6" s="3" t="s">
        <v>11</v>
      </c>
      <c r="Y6" s="3" t="s">
        <v>12</v>
      </c>
      <c r="Z6" s="3" t="s">
        <v>11</v>
      </c>
      <c r="AA6" s="3" t="s">
        <v>12</v>
      </c>
      <c r="AB6" s="3" t="s">
        <v>12</v>
      </c>
      <c r="AC6" s="3" t="s">
        <v>12</v>
      </c>
      <c r="AD6" s="3" t="s">
        <v>11</v>
      </c>
    </row>
    <row r="7" spans="1:32" x14ac:dyDescent="0.35">
      <c r="A7">
        <v>5</v>
      </c>
      <c r="B7" t="s">
        <v>95</v>
      </c>
      <c r="C7" t="s">
        <v>4</v>
      </c>
      <c r="D7">
        <v>11</v>
      </c>
      <c r="E7">
        <v>7</v>
      </c>
      <c r="F7">
        <v>4</v>
      </c>
      <c r="G7" s="1">
        <f t="shared" si="0"/>
        <v>0.63636363636363635</v>
      </c>
      <c r="H7" s="1">
        <f t="shared" si="1"/>
        <v>0.57894736842105265</v>
      </c>
      <c r="I7" s="6">
        <f t="shared" si="3"/>
        <v>0.63636363636363635</v>
      </c>
      <c r="J7" s="13">
        <f t="shared" si="2"/>
        <v>0.36842105263157898</v>
      </c>
      <c r="L7" s="3" t="s">
        <v>12</v>
      </c>
      <c r="M7" s="3" t="s">
        <v>12</v>
      </c>
      <c r="N7" s="3" t="s">
        <v>11</v>
      </c>
      <c r="O7" s="3" t="s">
        <v>12</v>
      </c>
      <c r="P7" s="3" t="s">
        <v>11</v>
      </c>
      <c r="Q7" s="4"/>
      <c r="R7" s="4"/>
      <c r="S7" s="3" t="s">
        <v>12</v>
      </c>
      <c r="T7" s="4"/>
      <c r="U7" s="4"/>
      <c r="V7" s="4"/>
      <c r="W7" s="4"/>
      <c r="X7" s="3" t="s">
        <v>12</v>
      </c>
      <c r="Y7" s="3" t="s">
        <v>12</v>
      </c>
      <c r="Z7" s="3" t="s">
        <v>11</v>
      </c>
      <c r="AA7" s="4"/>
      <c r="AB7" s="3" t="s">
        <v>11</v>
      </c>
      <c r="AC7" s="4"/>
      <c r="AD7" s="3" t="s">
        <v>12</v>
      </c>
    </row>
    <row r="8" spans="1:32" x14ac:dyDescent="0.35">
      <c r="A8">
        <v>5</v>
      </c>
      <c r="B8" t="s">
        <v>110</v>
      </c>
      <c r="C8" t="s">
        <v>111</v>
      </c>
      <c r="D8">
        <v>13</v>
      </c>
      <c r="E8">
        <v>7</v>
      </c>
      <c r="F8">
        <v>6</v>
      </c>
      <c r="G8" s="1">
        <f t="shared" si="0"/>
        <v>0.53846153846153844</v>
      </c>
      <c r="H8" s="1">
        <f t="shared" si="1"/>
        <v>0.68421052631578949</v>
      </c>
      <c r="I8" s="6">
        <f t="shared" si="3"/>
        <v>0.53846153846153844</v>
      </c>
      <c r="J8" s="13">
        <f t="shared" si="2"/>
        <v>0.36842105263157893</v>
      </c>
      <c r="L8" s="4"/>
      <c r="M8" s="4"/>
      <c r="N8" s="3" t="s">
        <v>12</v>
      </c>
      <c r="O8" s="3" t="s">
        <v>11</v>
      </c>
      <c r="P8" s="3" t="s">
        <v>12</v>
      </c>
      <c r="Q8" s="4"/>
      <c r="R8" s="3" t="s">
        <v>12</v>
      </c>
      <c r="S8" s="3" t="s">
        <v>11</v>
      </c>
      <c r="T8" s="3" t="s">
        <v>11</v>
      </c>
      <c r="U8" s="4"/>
      <c r="V8" s="3" t="s">
        <v>11</v>
      </c>
      <c r="W8" s="3" t="s">
        <v>12</v>
      </c>
      <c r="X8" s="3" t="s">
        <v>12</v>
      </c>
      <c r="Y8" s="3" t="s">
        <v>11</v>
      </c>
      <c r="Z8" s="4"/>
      <c r="AA8" s="4"/>
      <c r="AB8" s="3" t="s">
        <v>11</v>
      </c>
      <c r="AC8" s="3" t="s">
        <v>12</v>
      </c>
      <c r="AD8" s="3" t="s">
        <v>12</v>
      </c>
    </row>
    <row r="9" spans="1:32" x14ac:dyDescent="0.35">
      <c r="A9">
        <v>7</v>
      </c>
      <c r="B9" t="s">
        <v>97</v>
      </c>
      <c r="C9" t="s">
        <v>98</v>
      </c>
      <c r="D9">
        <v>15</v>
      </c>
      <c r="E9">
        <v>6</v>
      </c>
      <c r="F9">
        <v>9</v>
      </c>
      <c r="G9" s="1">
        <f t="shared" si="0"/>
        <v>0.4</v>
      </c>
      <c r="H9" s="1">
        <f t="shared" si="1"/>
        <v>0.78947368421052633</v>
      </c>
      <c r="I9" s="6">
        <f t="shared" si="3"/>
        <v>0.4</v>
      </c>
      <c r="J9" s="13">
        <f t="shared" si="2"/>
        <v>0.31578947368421056</v>
      </c>
      <c r="L9" s="4"/>
      <c r="M9" s="3" t="s">
        <v>11</v>
      </c>
      <c r="N9" s="3" t="s">
        <v>11</v>
      </c>
      <c r="O9" s="3" t="s">
        <v>12</v>
      </c>
      <c r="P9" s="3" t="s">
        <v>11</v>
      </c>
      <c r="Q9" s="4"/>
      <c r="R9" s="3" t="s">
        <v>12</v>
      </c>
      <c r="S9" s="3" t="s">
        <v>11</v>
      </c>
      <c r="T9" s="3" t="s">
        <v>12</v>
      </c>
      <c r="U9" s="3" t="s">
        <v>11</v>
      </c>
      <c r="V9" s="3" t="s">
        <v>12</v>
      </c>
      <c r="W9" s="3" t="s">
        <v>12</v>
      </c>
      <c r="X9" s="3" t="s">
        <v>11</v>
      </c>
      <c r="Y9" s="3" t="s">
        <v>11</v>
      </c>
      <c r="Z9" s="4"/>
      <c r="AA9" s="4"/>
      <c r="AB9" s="3" t="s">
        <v>11</v>
      </c>
      <c r="AC9" s="3" t="s">
        <v>12</v>
      </c>
      <c r="AD9" s="3" t="s">
        <v>11</v>
      </c>
    </row>
    <row r="10" spans="1:32" x14ac:dyDescent="0.35">
      <c r="A10">
        <v>7</v>
      </c>
      <c r="B10" t="s">
        <v>94</v>
      </c>
      <c r="C10" t="s">
        <v>7</v>
      </c>
      <c r="D10">
        <v>12</v>
      </c>
      <c r="E10">
        <v>6</v>
      </c>
      <c r="F10">
        <v>6</v>
      </c>
      <c r="G10" s="1">
        <f t="shared" si="0"/>
        <v>0.5</v>
      </c>
      <c r="H10" s="1">
        <f t="shared" si="1"/>
        <v>0.63157894736842102</v>
      </c>
      <c r="I10" s="6">
        <f t="shared" si="3"/>
        <v>0.5</v>
      </c>
      <c r="J10" s="13">
        <f t="shared" si="2"/>
        <v>0.31578947368421051</v>
      </c>
      <c r="L10" s="3" t="s">
        <v>12</v>
      </c>
      <c r="M10" s="3" t="s">
        <v>11</v>
      </c>
      <c r="N10" s="4"/>
      <c r="O10" s="3" t="s">
        <v>11</v>
      </c>
      <c r="P10" s="3" t="s">
        <v>11</v>
      </c>
      <c r="Q10" s="3" t="s">
        <v>12</v>
      </c>
      <c r="R10" s="3" t="s">
        <v>11</v>
      </c>
      <c r="S10" s="3" t="s">
        <v>12</v>
      </c>
      <c r="T10" s="3" t="s">
        <v>12</v>
      </c>
      <c r="U10" s="3" t="s">
        <v>11</v>
      </c>
      <c r="V10" s="3" t="s">
        <v>11</v>
      </c>
      <c r="W10" s="4"/>
      <c r="X10" s="3" t="s">
        <v>12</v>
      </c>
      <c r="Y10" s="4"/>
      <c r="Z10" s="3" t="s">
        <v>12</v>
      </c>
      <c r="AA10" s="4"/>
      <c r="AB10" s="4"/>
      <c r="AC10" s="4"/>
      <c r="AD10" s="4"/>
    </row>
    <row r="11" spans="1:32" x14ac:dyDescent="0.35">
      <c r="A11">
        <v>9</v>
      </c>
      <c r="B11" t="s">
        <v>37</v>
      </c>
      <c r="C11" t="s">
        <v>133</v>
      </c>
      <c r="D11">
        <v>9</v>
      </c>
      <c r="E11">
        <v>4</v>
      </c>
      <c r="F11">
        <v>5</v>
      </c>
      <c r="G11" s="1">
        <f t="shared" si="0"/>
        <v>0.44444444444444442</v>
      </c>
      <c r="H11" s="1">
        <f t="shared" si="1"/>
        <v>0.47368421052631576</v>
      </c>
      <c r="I11" s="6">
        <f t="shared" si="3"/>
        <v>0.44444444444444442</v>
      </c>
      <c r="J11" s="13">
        <f t="shared" si="2"/>
        <v>0.21052631578947367</v>
      </c>
      <c r="L11" s="4"/>
      <c r="M11" s="4"/>
      <c r="N11" s="4"/>
      <c r="O11" s="4"/>
      <c r="P11" s="4"/>
      <c r="Q11" s="3" t="s">
        <v>11</v>
      </c>
      <c r="R11" s="3" t="s">
        <v>12</v>
      </c>
      <c r="S11" s="4"/>
      <c r="T11" s="3" t="s">
        <v>12</v>
      </c>
      <c r="U11" s="4"/>
      <c r="V11" s="4"/>
      <c r="W11" s="3" t="s">
        <v>11</v>
      </c>
      <c r="X11" s="4"/>
      <c r="Y11" s="3" t="s">
        <v>12</v>
      </c>
      <c r="Z11" s="3" t="s">
        <v>11</v>
      </c>
      <c r="AA11" s="3" t="s">
        <v>11</v>
      </c>
      <c r="AB11" s="4"/>
      <c r="AC11" s="3" t="s">
        <v>11</v>
      </c>
      <c r="AD11" s="3" t="s">
        <v>12</v>
      </c>
    </row>
    <row r="12" spans="1:32" x14ac:dyDescent="0.35">
      <c r="A12">
        <v>10</v>
      </c>
      <c r="B12" t="s">
        <v>26</v>
      </c>
      <c r="C12" t="s">
        <v>122</v>
      </c>
      <c r="D12">
        <v>8</v>
      </c>
      <c r="E12">
        <v>3</v>
      </c>
      <c r="F12">
        <v>5</v>
      </c>
      <c r="G12" s="1">
        <f t="shared" si="0"/>
        <v>0.375</v>
      </c>
      <c r="H12" s="1">
        <f t="shared" si="1"/>
        <v>0.42105263157894735</v>
      </c>
      <c r="I12" s="6">
        <f t="shared" si="3"/>
        <v>0.375</v>
      </c>
      <c r="J12" s="8">
        <f t="shared" si="2"/>
        <v>0.15789473684210525</v>
      </c>
      <c r="L12" s="4"/>
      <c r="M12" s="4"/>
      <c r="N12" s="4"/>
      <c r="O12" s="4"/>
      <c r="P12" s="4"/>
      <c r="Q12" s="3" t="s">
        <v>11</v>
      </c>
      <c r="R12" s="3" t="s">
        <v>11</v>
      </c>
      <c r="S12" s="4"/>
      <c r="T12" s="3" t="s">
        <v>11</v>
      </c>
      <c r="U12" s="4"/>
      <c r="V12" s="4"/>
      <c r="W12" s="4"/>
      <c r="X12" s="3" t="s">
        <v>12</v>
      </c>
      <c r="Y12" s="4"/>
      <c r="Z12" s="3" t="s">
        <v>12</v>
      </c>
      <c r="AA12" s="3" t="s">
        <v>11</v>
      </c>
      <c r="AB12" s="3" t="s">
        <v>12</v>
      </c>
      <c r="AC12" s="3" t="s">
        <v>11</v>
      </c>
      <c r="AD12" s="4"/>
    </row>
    <row r="13" spans="1:32" x14ac:dyDescent="0.35">
      <c r="A13">
        <v>10</v>
      </c>
      <c r="B13" t="s">
        <v>31</v>
      </c>
      <c r="C13" t="s">
        <v>31</v>
      </c>
      <c r="D13">
        <v>8</v>
      </c>
      <c r="E13">
        <v>3</v>
      </c>
      <c r="F13">
        <v>5</v>
      </c>
      <c r="G13" s="1">
        <f t="shared" si="0"/>
        <v>0.375</v>
      </c>
      <c r="H13" s="1">
        <f t="shared" si="1"/>
        <v>0.42105263157894735</v>
      </c>
      <c r="I13" s="6">
        <f t="shared" si="3"/>
        <v>0.375</v>
      </c>
      <c r="J13" s="8">
        <f t="shared" si="2"/>
        <v>0.15789473684210525</v>
      </c>
      <c r="L13" s="4"/>
      <c r="M13" s="3" t="s">
        <v>12</v>
      </c>
      <c r="N13" s="4"/>
      <c r="O13" s="3" t="s">
        <v>11</v>
      </c>
      <c r="P13" s="3" t="s">
        <v>12</v>
      </c>
      <c r="Q13" s="4"/>
      <c r="R13" s="4"/>
      <c r="S13" s="3" t="s">
        <v>11</v>
      </c>
      <c r="T13" s="4"/>
      <c r="U13" s="3" t="s">
        <v>11</v>
      </c>
      <c r="V13" s="4"/>
      <c r="W13" s="3" t="s">
        <v>11</v>
      </c>
      <c r="X13" s="4"/>
      <c r="Y13" s="4"/>
      <c r="Z13" s="3" t="s">
        <v>11</v>
      </c>
      <c r="AA13" s="3" t="s">
        <v>12</v>
      </c>
      <c r="AB13" s="4"/>
      <c r="AC13" s="4"/>
      <c r="AD13" s="4"/>
      <c r="AF13" s="104"/>
    </row>
    <row r="14" spans="1:32" x14ac:dyDescent="0.35">
      <c r="A14">
        <v>10</v>
      </c>
      <c r="B14" t="s">
        <v>89</v>
      </c>
      <c r="C14" t="s">
        <v>25</v>
      </c>
      <c r="D14">
        <v>7</v>
      </c>
      <c r="E14">
        <v>3</v>
      </c>
      <c r="F14">
        <v>4</v>
      </c>
      <c r="G14" s="1">
        <f t="shared" si="0"/>
        <v>0.42857142857142855</v>
      </c>
      <c r="H14" s="1">
        <f t="shared" si="1"/>
        <v>0.36842105263157893</v>
      </c>
      <c r="I14" s="6">
        <f t="shared" si="3"/>
        <v>0.42857142857142855</v>
      </c>
      <c r="J14" s="8">
        <f t="shared" si="2"/>
        <v>0.15789473684210525</v>
      </c>
      <c r="L14" s="3" t="s">
        <v>11</v>
      </c>
      <c r="M14" s="4"/>
      <c r="N14" s="4"/>
      <c r="O14" s="3" t="s">
        <v>11</v>
      </c>
      <c r="P14" s="4"/>
      <c r="Q14" s="3" t="s">
        <v>12</v>
      </c>
      <c r="R14" s="4"/>
      <c r="S14" s="3" t="s">
        <v>11</v>
      </c>
      <c r="T14" s="3" t="s">
        <v>11</v>
      </c>
      <c r="U14" s="3" t="s">
        <v>12</v>
      </c>
      <c r="V14" s="4"/>
      <c r="W14" s="3" t="s">
        <v>12</v>
      </c>
      <c r="X14" s="4"/>
      <c r="Y14" s="4"/>
      <c r="Z14" s="4"/>
      <c r="AA14" s="4"/>
      <c r="AB14" s="4"/>
      <c r="AC14" s="4"/>
      <c r="AD14" s="4"/>
    </row>
    <row r="15" spans="1:32" x14ac:dyDescent="0.35">
      <c r="A15">
        <v>13</v>
      </c>
      <c r="B15" t="s">
        <v>141</v>
      </c>
      <c r="C15" t="s">
        <v>142</v>
      </c>
      <c r="D15">
        <v>5</v>
      </c>
      <c r="E15">
        <v>2</v>
      </c>
      <c r="F15">
        <v>3</v>
      </c>
      <c r="G15" s="1">
        <f t="shared" si="0"/>
        <v>0.4</v>
      </c>
      <c r="H15" s="1">
        <f t="shared" si="1"/>
        <v>0.26315789473684209</v>
      </c>
      <c r="I15" s="6">
        <f t="shared" si="3"/>
        <v>0.4</v>
      </c>
      <c r="J15" s="8">
        <f t="shared" si="2"/>
        <v>0.10526315789473684</v>
      </c>
      <c r="L15" s="4"/>
      <c r="M15" s="4"/>
      <c r="N15" s="4"/>
      <c r="O15" s="4"/>
      <c r="P15" s="4"/>
      <c r="Q15" s="4"/>
      <c r="R15" s="3" t="s">
        <v>12</v>
      </c>
      <c r="S15" s="4"/>
      <c r="T15" s="4"/>
      <c r="U15" s="3" t="s">
        <v>11</v>
      </c>
      <c r="V15" s="3" t="s">
        <v>11</v>
      </c>
      <c r="W15" s="4"/>
      <c r="X15" s="3" t="s">
        <v>11</v>
      </c>
      <c r="Y15" s="4"/>
      <c r="Z15" s="3" t="s">
        <v>12</v>
      </c>
      <c r="AA15" s="4"/>
      <c r="AB15" s="4"/>
      <c r="AC15" s="4"/>
      <c r="AD15" s="4"/>
    </row>
    <row r="16" spans="1:32" x14ac:dyDescent="0.35">
      <c r="A16">
        <v>13</v>
      </c>
      <c r="B16" t="s">
        <v>149</v>
      </c>
      <c r="C16" t="s">
        <v>150</v>
      </c>
      <c r="D16">
        <v>5</v>
      </c>
      <c r="E16">
        <v>2</v>
      </c>
      <c r="F16">
        <v>3</v>
      </c>
      <c r="G16" s="1">
        <f t="shared" si="0"/>
        <v>0.4</v>
      </c>
      <c r="H16" s="1">
        <f t="shared" si="1"/>
        <v>0.26315789473684209</v>
      </c>
      <c r="I16" s="6">
        <f t="shared" si="3"/>
        <v>0.4</v>
      </c>
      <c r="J16" s="8">
        <f t="shared" si="2"/>
        <v>0.10526315789473684</v>
      </c>
      <c r="L16" s="4"/>
      <c r="M16" s="4"/>
      <c r="N16" s="4"/>
      <c r="O16" s="4"/>
      <c r="P16" s="4"/>
      <c r="Q16" s="4"/>
      <c r="R16" s="4"/>
      <c r="S16" s="4"/>
      <c r="T16" s="4"/>
      <c r="U16" s="3" t="s">
        <v>11</v>
      </c>
      <c r="V16" s="4"/>
      <c r="W16" s="3" t="s">
        <v>12</v>
      </c>
      <c r="X16" s="4"/>
      <c r="Y16" s="4"/>
      <c r="Z16" s="4"/>
      <c r="AA16" s="4"/>
      <c r="AB16" s="3" t="s">
        <v>11</v>
      </c>
      <c r="AC16" s="3" t="s">
        <v>12</v>
      </c>
      <c r="AD16" s="3" t="s">
        <v>11</v>
      </c>
    </row>
    <row r="17" spans="1:30" x14ac:dyDescent="0.35">
      <c r="A17">
        <v>13</v>
      </c>
      <c r="B17" t="s">
        <v>101</v>
      </c>
      <c r="C17" t="s">
        <v>29</v>
      </c>
      <c r="D17">
        <v>4</v>
      </c>
      <c r="E17">
        <v>2</v>
      </c>
      <c r="F17">
        <v>2</v>
      </c>
      <c r="G17" s="1">
        <f t="shared" si="0"/>
        <v>0.5</v>
      </c>
      <c r="H17" s="1">
        <f t="shared" si="1"/>
        <v>0.21052631578947367</v>
      </c>
      <c r="I17" s="6">
        <f t="shared" si="3"/>
        <v>0.5</v>
      </c>
      <c r="J17" s="8">
        <f t="shared" si="2"/>
        <v>0.10526315789473684</v>
      </c>
      <c r="L17" s="4"/>
      <c r="M17" s="3" t="s">
        <v>11</v>
      </c>
      <c r="N17" s="4"/>
      <c r="O17" s="4"/>
      <c r="P17" s="3" t="s">
        <v>12</v>
      </c>
      <c r="Q17" s="3" t="s">
        <v>12</v>
      </c>
      <c r="R17" s="3" t="s">
        <v>11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1:30" x14ac:dyDescent="0.35">
      <c r="A18">
        <v>13</v>
      </c>
      <c r="B18" t="s">
        <v>88</v>
      </c>
      <c r="C18" t="s">
        <v>36</v>
      </c>
      <c r="D18">
        <v>3</v>
      </c>
      <c r="E18">
        <v>2</v>
      </c>
      <c r="F18">
        <v>1</v>
      </c>
      <c r="G18" s="1">
        <f t="shared" si="0"/>
        <v>0.66666666666666663</v>
      </c>
      <c r="H18" s="1">
        <f t="shared" si="1"/>
        <v>0.15789473684210525</v>
      </c>
      <c r="I18" s="6">
        <f t="shared" si="3"/>
        <v>0.66666666666666663</v>
      </c>
      <c r="J18" s="8">
        <f t="shared" si="2"/>
        <v>0.10526315789473684</v>
      </c>
      <c r="L18" s="3" t="s">
        <v>11</v>
      </c>
      <c r="M18" s="3" t="s">
        <v>12</v>
      </c>
      <c r="N18" s="3" t="s">
        <v>12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35">
      <c r="A19">
        <v>13</v>
      </c>
      <c r="B19" t="s">
        <v>103</v>
      </c>
      <c r="C19" t="s">
        <v>81</v>
      </c>
      <c r="D19">
        <v>3</v>
      </c>
      <c r="E19">
        <v>2</v>
      </c>
      <c r="F19">
        <v>1</v>
      </c>
      <c r="G19" s="1">
        <f t="shared" si="0"/>
        <v>0.66666666666666663</v>
      </c>
      <c r="H19" s="1">
        <f t="shared" si="1"/>
        <v>0.15789473684210525</v>
      </c>
      <c r="I19" s="6">
        <f t="shared" si="3"/>
        <v>0.66666666666666663</v>
      </c>
      <c r="J19" s="8">
        <f t="shared" si="2"/>
        <v>0.10526315789473684</v>
      </c>
      <c r="L19" s="3" t="s">
        <v>12</v>
      </c>
      <c r="M19" s="4"/>
      <c r="N19" s="3" t="s">
        <v>11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3" t="s">
        <v>12</v>
      </c>
      <c r="AA19" s="4"/>
      <c r="AB19" s="4"/>
      <c r="AC19" s="4"/>
      <c r="AD19" s="4"/>
    </row>
    <row r="20" spans="1:30" x14ac:dyDescent="0.35">
      <c r="A20">
        <v>18</v>
      </c>
      <c r="B20" t="s">
        <v>170</v>
      </c>
      <c r="C20" t="s">
        <v>170</v>
      </c>
      <c r="D20">
        <v>3</v>
      </c>
      <c r="E20">
        <v>1</v>
      </c>
      <c r="F20">
        <v>2</v>
      </c>
      <c r="G20" s="1">
        <f t="shared" si="0"/>
        <v>0.33333333333333331</v>
      </c>
      <c r="H20" s="1">
        <f t="shared" si="1"/>
        <v>0.15789473684210525</v>
      </c>
      <c r="I20" s="6">
        <f t="shared" si="3"/>
        <v>0.33333333333333331</v>
      </c>
      <c r="J20" s="8">
        <f t="shared" si="2"/>
        <v>5.2631578947368418E-2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3" t="s">
        <v>11</v>
      </c>
      <c r="AB20" s="4"/>
      <c r="AC20" s="3" t="s">
        <v>11</v>
      </c>
      <c r="AD20" s="3" t="s">
        <v>12</v>
      </c>
    </row>
    <row r="21" spans="1:30" x14ac:dyDescent="0.35">
      <c r="A21">
        <v>18</v>
      </c>
      <c r="B21" t="s">
        <v>145</v>
      </c>
      <c r="C21" t="s">
        <v>146</v>
      </c>
      <c r="D21">
        <v>2</v>
      </c>
      <c r="E21">
        <v>1</v>
      </c>
      <c r="F21">
        <v>1</v>
      </c>
      <c r="G21" s="1">
        <f t="shared" si="0"/>
        <v>0.5</v>
      </c>
      <c r="H21" s="1">
        <f t="shared" si="1"/>
        <v>0.10526315789473684</v>
      </c>
      <c r="I21" s="6">
        <f t="shared" si="3"/>
        <v>0.5</v>
      </c>
      <c r="J21" s="8">
        <f t="shared" si="2"/>
        <v>5.2631578947368418E-2</v>
      </c>
      <c r="L21" s="4"/>
      <c r="M21" s="4"/>
      <c r="N21" s="4"/>
      <c r="O21" s="4"/>
      <c r="P21" s="4"/>
      <c r="Q21" s="4"/>
      <c r="R21" s="4"/>
      <c r="S21" s="3" t="s">
        <v>12</v>
      </c>
      <c r="T21" s="4"/>
      <c r="U21" s="4"/>
      <c r="V21" s="4"/>
      <c r="W21" s="4"/>
      <c r="X21" s="4"/>
      <c r="Y21" s="3" t="s">
        <v>11</v>
      </c>
      <c r="Z21" s="4"/>
      <c r="AA21" s="4"/>
      <c r="AB21" s="4"/>
      <c r="AC21" s="4"/>
      <c r="AD21" s="4"/>
    </row>
    <row r="22" spans="1:30" x14ac:dyDescent="0.35">
      <c r="A22">
        <v>18</v>
      </c>
      <c r="B22" t="s">
        <v>119</v>
      </c>
      <c r="C22" t="s">
        <v>13</v>
      </c>
      <c r="D22">
        <v>2</v>
      </c>
      <c r="E22">
        <v>1</v>
      </c>
      <c r="F22">
        <v>1</v>
      </c>
      <c r="G22" s="1">
        <f t="shared" si="0"/>
        <v>0.5</v>
      </c>
      <c r="H22" s="1">
        <f t="shared" si="1"/>
        <v>0.10526315789473684</v>
      </c>
      <c r="I22" s="6">
        <f t="shared" si="3"/>
        <v>0.5</v>
      </c>
      <c r="J22" s="8">
        <f t="shared" si="2"/>
        <v>5.2631578947368418E-2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3" t="s">
        <v>11</v>
      </c>
      <c r="W22" s="4"/>
      <c r="X22" s="4"/>
      <c r="Y22" s="4"/>
      <c r="Z22" s="4"/>
      <c r="AA22" s="3" t="s">
        <v>12</v>
      </c>
      <c r="AB22" s="4"/>
      <c r="AC22" s="4"/>
      <c r="AD22" s="4"/>
    </row>
    <row r="23" spans="1:30" x14ac:dyDescent="0.35">
      <c r="A23">
        <v>18</v>
      </c>
      <c r="B23" t="s">
        <v>93</v>
      </c>
      <c r="C23" t="s">
        <v>92</v>
      </c>
      <c r="D23">
        <v>1</v>
      </c>
      <c r="E23">
        <v>1</v>
      </c>
      <c r="F23">
        <v>0</v>
      </c>
      <c r="G23" s="1">
        <f t="shared" si="0"/>
        <v>1</v>
      </c>
      <c r="H23" s="1">
        <f t="shared" si="1"/>
        <v>5.2631578947368418E-2</v>
      </c>
      <c r="I23" s="6">
        <f t="shared" si="3"/>
        <v>1</v>
      </c>
      <c r="J23" s="8">
        <f t="shared" si="2"/>
        <v>5.2631578947368418E-2</v>
      </c>
      <c r="L23" s="3" t="s">
        <v>12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1:30" x14ac:dyDescent="0.35">
      <c r="A24">
        <v>18</v>
      </c>
      <c r="C24" t="s">
        <v>82</v>
      </c>
      <c r="D24">
        <v>1</v>
      </c>
      <c r="E24">
        <v>1</v>
      </c>
      <c r="F24">
        <v>0</v>
      </c>
      <c r="G24" s="1">
        <f t="shared" si="0"/>
        <v>1</v>
      </c>
      <c r="H24" s="1">
        <f t="shared" si="1"/>
        <v>5.2631578947368418E-2</v>
      </c>
      <c r="I24" s="6">
        <f t="shared" si="3"/>
        <v>1</v>
      </c>
      <c r="J24" s="8">
        <f t="shared" si="2"/>
        <v>5.2631578947368418E-2</v>
      </c>
      <c r="L24" s="3" t="s">
        <v>12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35">
      <c r="A25">
        <v>18</v>
      </c>
      <c r="B25" t="s">
        <v>23</v>
      </c>
      <c r="C25" t="s">
        <v>102</v>
      </c>
      <c r="D25">
        <v>1</v>
      </c>
      <c r="E25">
        <v>1</v>
      </c>
      <c r="F25">
        <v>0</v>
      </c>
      <c r="G25" s="1">
        <f t="shared" si="0"/>
        <v>1</v>
      </c>
      <c r="H25" s="1">
        <f t="shared" si="1"/>
        <v>5.2631578947368418E-2</v>
      </c>
      <c r="I25" s="6">
        <f t="shared" si="3"/>
        <v>1</v>
      </c>
      <c r="J25" s="8">
        <f t="shared" si="2"/>
        <v>5.2631578947368418E-2</v>
      </c>
      <c r="L25" s="4"/>
      <c r="M25" s="3" t="s">
        <v>12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1:30" x14ac:dyDescent="0.35">
      <c r="A26">
        <v>18</v>
      </c>
      <c r="B26" t="s">
        <v>108</v>
      </c>
      <c r="C26" t="s">
        <v>109</v>
      </c>
      <c r="D26">
        <v>1</v>
      </c>
      <c r="E26">
        <v>1</v>
      </c>
      <c r="F26">
        <v>0</v>
      </c>
      <c r="G26" s="1">
        <f t="shared" si="0"/>
        <v>1</v>
      </c>
      <c r="H26" s="1">
        <f t="shared" si="1"/>
        <v>5.2631578947368418E-2</v>
      </c>
      <c r="I26" s="6">
        <f t="shared" si="3"/>
        <v>1</v>
      </c>
      <c r="J26" s="8">
        <f t="shared" si="2"/>
        <v>5.2631578947368418E-2</v>
      </c>
      <c r="L26" s="4"/>
      <c r="M26" s="4"/>
      <c r="N26" s="3" t="s">
        <v>12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</row>
    <row r="27" spans="1:30" x14ac:dyDescent="0.35">
      <c r="A27">
        <v>18</v>
      </c>
      <c r="B27" t="s">
        <v>152</v>
      </c>
      <c r="C27" t="s">
        <v>153</v>
      </c>
      <c r="D27">
        <v>1</v>
      </c>
      <c r="E27">
        <v>1</v>
      </c>
      <c r="F27">
        <v>0</v>
      </c>
      <c r="G27" s="1">
        <f t="shared" si="0"/>
        <v>1</v>
      </c>
      <c r="H27" s="1">
        <f t="shared" si="1"/>
        <v>5.2631578947368418E-2</v>
      </c>
      <c r="I27" s="6">
        <f t="shared" si="3"/>
        <v>1</v>
      </c>
      <c r="J27" s="8">
        <f t="shared" si="2"/>
        <v>5.2631578947368418E-2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3" t="s">
        <v>12</v>
      </c>
      <c r="W27" s="4"/>
      <c r="X27" s="4"/>
      <c r="Y27" s="4"/>
      <c r="Z27" s="4"/>
      <c r="AA27" s="4"/>
      <c r="AB27" s="4"/>
      <c r="AC27" s="4"/>
      <c r="AD27" s="4"/>
    </row>
    <row r="28" spans="1:30" x14ac:dyDescent="0.35">
      <c r="A28">
        <v>26</v>
      </c>
      <c r="B28" t="s">
        <v>113</v>
      </c>
      <c r="C28" t="s">
        <v>114</v>
      </c>
      <c r="D28">
        <v>3</v>
      </c>
      <c r="E28">
        <v>0</v>
      </c>
      <c r="F28">
        <v>3</v>
      </c>
      <c r="G28" s="1">
        <f t="shared" si="0"/>
        <v>0</v>
      </c>
      <c r="H28" s="1">
        <f t="shared" si="1"/>
        <v>0.15789473684210525</v>
      </c>
      <c r="I28" s="6">
        <f t="shared" si="3"/>
        <v>0</v>
      </c>
      <c r="J28" s="8">
        <f t="shared" si="2"/>
        <v>0</v>
      </c>
      <c r="L28" s="4"/>
      <c r="M28" s="4"/>
      <c r="N28" s="4"/>
      <c r="O28" s="3" t="s">
        <v>11</v>
      </c>
      <c r="P28" s="3" t="s">
        <v>11</v>
      </c>
      <c r="Q28" s="3" t="s">
        <v>11</v>
      </c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</row>
    <row r="29" spans="1:30" x14ac:dyDescent="0.35">
      <c r="A29">
        <v>26</v>
      </c>
      <c r="B29" t="s">
        <v>155</v>
      </c>
      <c r="C29" t="s">
        <v>154</v>
      </c>
      <c r="D29">
        <v>2</v>
      </c>
      <c r="E29">
        <v>0</v>
      </c>
      <c r="F29">
        <v>2</v>
      </c>
      <c r="G29" s="1">
        <f t="shared" si="0"/>
        <v>0</v>
      </c>
      <c r="H29" s="1">
        <f t="shared" si="1"/>
        <v>0.10526315789473684</v>
      </c>
      <c r="I29" s="6">
        <f t="shared" si="3"/>
        <v>0</v>
      </c>
      <c r="J29" s="8">
        <f t="shared" si="2"/>
        <v>0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3" t="s">
        <v>11</v>
      </c>
      <c r="W29" s="4"/>
      <c r="X29" s="4"/>
      <c r="Y29" s="4"/>
      <c r="Z29" s="4"/>
      <c r="AA29" s="4"/>
      <c r="AB29" s="3" t="s">
        <v>11</v>
      </c>
      <c r="AC29" s="4"/>
      <c r="AD29" s="4"/>
    </row>
    <row r="30" spans="1:30" x14ac:dyDescent="0.35">
      <c r="A30">
        <v>26</v>
      </c>
      <c r="B30" t="s">
        <v>87</v>
      </c>
      <c r="C30" t="s">
        <v>86</v>
      </c>
      <c r="D30">
        <v>1</v>
      </c>
      <c r="E30">
        <v>0</v>
      </c>
      <c r="F30">
        <v>1</v>
      </c>
      <c r="G30" s="1">
        <f t="shared" si="0"/>
        <v>0</v>
      </c>
      <c r="H30" s="1">
        <f t="shared" si="1"/>
        <v>5.2631578947368418E-2</v>
      </c>
      <c r="I30" s="6">
        <f t="shared" si="3"/>
        <v>0</v>
      </c>
      <c r="J30" s="8">
        <f t="shared" si="2"/>
        <v>0</v>
      </c>
      <c r="L30" s="3" t="s">
        <v>11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35">
      <c r="A31">
        <v>26</v>
      </c>
      <c r="B31" t="s">
        <v>104</v>
      </c>
      <c r="C31" t="s">
        <v>107</v>
      </c>
      <c r="D31">
        <v>1</v>
      </c>
      <c r="E31">
        <v>0</v>
      </c>
      <c r="F31">
        <v>1</v>
      </c>
      <c r="G31" s="1">
        <f t="shared" si="0"/>
        <v>0</v>
      </c>
      <c r="H31" s="1">
        <f t="shared" si="1"/>
        <v>5.2631578947368418E-2</v>
      </c>
      <c r="I31" s="6">
        <f t="shared" si="3"/>
        <v>0</v>
      </c>
      <c r="J31" s="8">
        <f t="shared" si="2"/>
        <v>0</v>
      </c>
      <c r="L31" s="4"/>
      <c r="M31" s="4"/>
      <c r="N31" s="3" t="s">
        <v>11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</row>
    <row r="32" spans="1:30" x14ac:dyDescent="0.35">
      <c r="A32">
        <v>26</v>
      </c>
      <c r="B32" t="s">
        <v>105</v>
      </c>
      <c r="C32" t="s">
        <v>106</v>
      </c>
      <c r="D32">
        <v>1</v>
      </c>
      <c r="E32">
        <v>0</v>
      </c>
      <c r="F32">
        <v>1</v>
      </c>
      <c r="G32" s="1">
        <f t="shared" si="0"/>
        <v>0</v>
      </c>
      <c r="H32" s="1">
        <f t="shared" si="1"/>
        <v>5.2631578947368418E-2</v>
      </c>
      <c r="I32" s="6">
        <f t="shared" si="3"/>
        <v>0</v>
      </c>
      <c r="J32" s="8">
        <f t="shared" si="2"/>
        <v>0</v>
      </c>
      <c r="L32" s="4"/>
      <c r="M32" s="4"/>
      <c r="N32" s="3" t="s">
        <v>11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35">
      <c r="A33">
        <v>26</v>
      </c>
      <c r="B33" t="s">
        <v>158</v>
      </c>
      <c r="C33" t="s">
        <v>159</v>
      </c>
      <c r="D33">
        <v>1</v>
      </c>
      <c r="E33">
        <v>0</v>
      </c>
      <c r="F33">
        <v>1</v>
      </c>
      <c r="G33" s="1">
        <f t="shared" si="0"/>
        <v>0</v>
      </c>
      <c r="H33" s="1">
        <f t="shared" si="1"/>
        <v>5.2631578947368418E-2</v>
      </c>
      <c r="I33" s="6">
        <f t="shared" si="3"/>
        <v>0</v>
      </c>
      <c r="J33" s="8">
        <f t="shared" si="2"/>
        <v>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3" t="s">
        <v>11</v>
      </c>
      <c r="Z33" s="4"/>
      <c r="AA33" s="4"/>
      <c r="AB33" s="4"/>
      <c r="AC33" s="4"/>
      <c r="AD33" s="4"/>
    </row>
    <row r="34" spans="1:30" x14ac:dyDescent="0.35">
      <c r="A34">
        <v>26</v>
      </c>
      <c r="B34" t="s">
        <v>162</v>
      </c>
      <c r="C34" t="s">
        <v>163</v>
      </c>
      <c r="D34">
        <v>1</v>
      </c>
      <c r="E34">
        <v>0</v>
      </c>
      <c r="F34">
        <v>1</v>
      </c>
      <c r="G34" s="1">
        <f t="shared" si="0"/>
        <v>0</v>
      </c>
      <c r="H34" s="1">
        <f t="shared" si="1"/>
        <v>5.2631578947368418E-2</v>
      </c>
      <c r="I34" s="6">
        <f t="shared" si="3"/>
        <v>0</v>
      </c>
      <c r="J34" s="8">
        <f t="shared" si="2"/>
        <v>0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3" t="s">
        <v>11</v>
      </c>
      <c r="AB34" s="4"/>
      <c r="AC34" s="4"/>
      <c r="AD34" s="4"/>
    </row>
    <row r="35" spans="1:30" x14ac:dyDescent="0.35">
      <c r="A35">
        <v>26</v>
      </c>
      <c r="B35" t="s">
        <v>164</v>
      </c>
      <c r="C35" t="s">
        <v>165</v>
      </c>
      <c r="D35">
        <v>1</v>
      </c>
      <c r="E35">
        <v>0</v>
      </c>
      <c r="F35">
        <v>1</v>
      </c>
      <c r="G35" s="1">
        <f t="shared" si="0"/>
        <v>0</v>
      </c>
      <c r="H35" s="1">
        <f t="shared" si="1"/>
        <v>5.2631578947368418E-2</v>
      </c>
      <c r="I35" s="6">
        <f t="shared" si="3"/>
        <v>0</v>
      </c>
      <c r="J35" s="8">
        <f t="shared" si="2"/>
        <v>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3" t="s">
        <v>11</v>
      </c>
      <c r="AB35" s="4"/>
      <c r="AC35" s="4"/>
      <c r="AD35" s="4"/>
    </row>
    <row r="36" spans="1:30" x14ac:dyDescent="0.35">
      <c r="D36">
        <f>SUM(D3:D35)</f>
        <v>190</v>
      </c>
      <c r="E36">
        <f>SUM(E3:E35)</f>
        <v>95</v>
      </c>
      <c r="F36">
        <f>SUM(F3:F35)</f>
        <v>95</v>
      </c>
    </row>
    <row r="37" spans="1:30" x14ac:dyDescent="0.35">
      <c r="B37" t="s">
        <v>18</v>
      </c>
      <c r="D37">
        <f>D36/10</f>
        <v>19</v>
      </c>
    </row>
    <row r="38" spans="1:30" ht="15" thickBot="1" x14ac:dyDescent="0.4"/>
    <row r="39" spans="1:30" x14ac:dyDescent="0.35">
      <c r="B39" s="148" t="s">
        <v>19</v>
      </c>
      <c r="C39" s="148"/>
      <c r="D39" s="148"/>
      <c r="G39" t="str" cm="1">
        <f t="array" ref="G39:Q39">TRANSPOSE(F40:F50)</f>
        <v>Capela</v>
      </c>
      <c r="H39" t="str">
        <v>Quim</v>
      </c>
      <c r="I39" t="str">
        <v>Vieira</v>
      </c>
      <c r="J39" t="str">
        <v>Jorginho</v>
      </c>
      <c r="K39" t="str">
        <v>Campos</v>
      </c>
      <c r="L39" t="str">
        <v>Dimas</v>
      </c>
      <c r="M39" t="str">
        <v>Alex</v>
      </c>
      <c r="N39" t="str">
        <v>Rodri</v>
      </c>
      <c r="O39" t="str">
        <v>Xico Sant.</v>
      </c>
      <c r="P39" t="str">
        <v>Rui Vaz</v>
      </c>
      <c r="Q39" t="str">
        <v>Simão</v>
      </c>
      <c r="S39" s="17">
        <v>45540</v>
      </c>
      <c r="T39" s="158" t="s">
        <v>85</v>
      </c>
      <c r="U39" s="158"/>
      <c r="V39" s="159"/>
      <c r="X39" s="148" t="s">
        <v>15</v>
      </c>
      <c r="Y39" s="148"/>
      <c r="Z39" s="148"/>
      <c r="AA39" s="164" t="s">
        <v>8</v>
      </c>
      <c r="AB39" s="165"/>
      <c r="AC39" s="42">
        <v>5</v>
      </c>
    </row>
    <row r="40" spans="1:30" x14ac:dyDescent="0.35">
      <c r="B40" s="5">
        <v>1</v>
      </c>
      <c r="C40" s="147">
        <f>B40/$D$37</f>
        <v>5.2631578947368418E-2</v>
      </c>
      <c r="D40" s="147"/>
      <c r="F40" t="s">
        <v>8</v>
      </c>
      <c r="G40" s="16"/>
      <c r="H40" s="14">
        <v>45621</v>
      </c>
      <c r="I40" s="14">
        <v>45540</v>
      </c>
      <c r="J40" s="15"/>
      <c r="K40" s="15"/>
      <c r="L40" s="15"/>
      <c r="M40" s="15"/>
      <c r="N40" s="14" t="s">
        <v>171</v>
      </c>
      <c r="O40" s="15"/>
      <c r="P40" s="15"/>
      <c r="Q40" s="15"/>
      <c r="S40" s="39">
        <v>45544</v>
      </c>
      <c r="T40" s="162" t="s">
        <v>84</v>
      </c>
      <c r="U40" s="162"/>
      <c r="V40" s="163"/>
      <c r="X40" s="148" t="s">
        <v>14</v>
      </c>
      <c r="Y40" s="148"/>
      <c r="Z40" s="148"/>
      <c r="AA40" s="164" t="s">
        <v>172</v>
      </c>
      <c r="AB40" s="165"/>
      <c r="AC40" s="42">
        <v>2</v>
      </c>
    </row>
    <row r="41" spans="1:30" x14ac:dyDescent="0.35">
      <c r="B41" s="5">
        <v>2</v>
      </c>
      <c r="C41" s="147">
        <f t="shared" ref="C41:C52" si="4">B41/$D$37</f>
        <v>0.10526315789473684</v>
      </c>
      <c r="D41" s="147"/>
      <c r="F41" t="s">
        <v>5</v>
      </c>
      <c r="G41" s="14">
        <v>45621</v>
      </c>
      <c r="H41" s="16"/>
      <c r="I41" s="15"/>
      <c r="J41" s="15"/>
      <c r="K41" s="15"/>
      <c r="L41" s="14">
        <v>45579</v>
      </c>
      <c r="M41" s="14">
        <v>45670</v>
      </c>
      <c r="N41" s="15"/>
      <c r="O41" s="15"/>
      <c r="P41" s="15"/>
      <c r="Q41" s="15"/>
      <c r="S41" s="18">
        <v>45551</v>
      </c>
      <c r="T41" s="148" t="s">
        <v>83</v>
      </c>
      <c r="U41" s="148"/>
      <c r="V41" s="149"/>
      <c r="X41" s="148" t="s">
        <v>16</v>
      </c>
      <c r="Y41" s="148"/>
      <c r="Z41" s="148"/>
      <c r="AA41" s="164" t="s">
        <v>31</v>
      </c>
      <c r="AB41" s="165"/>
      <c r="AC41" s="32">
        <v>4</v>
      </c>
    </row>
    <row r="42" spans="1:30" x14ac:dyDescent="0.35">
      <c r="B42" s="5">
        <v>3</v>
      </c>
      <c r="C42" s="147">
        <f t="shared" si="4"/>
        <v>0.15789473684210525</v>
      </c>
      <c r="D42" s="147"/>
      <c r="F42" t="s">
        <v>7</v>
      </c>
      <c r="G42" s="14">
        <v>45540</v>
      </c>
      <c r="H42" s="15"/>
      <c r="I42" s="16"/>
      <c r="J42" s="14">
        <v>45607</v>
      </c>
      <c r="K42" s="15"/>
      <c r="L42" s="15"/>
      <c r="M42" s="14">
        <v>45565</v>
      </c>
      <c r="N42" s="15"/>
      <c r="O42" s="14">
        <v>45551</v>
      </c>
      <c r="P42" s="14">
        <v>45643</v>
      </c>
      <c r="Q42" s="15"/>
      <c r="S42" s="18">
        <v>45558</v>
      </c>
      <c r="T42" s="148" t="s">
        <v>112</v>
      </c>
      <c r="U42" s="148"/>
      <c r="V42" s="149"/>
      <c r="X42" s="148" t="s">
        <v>24</v>
      </c>
      <c r="Y42" s="148"/>
      <c r="Z42" s="148"/>
      <c r="AA42" s="164" t="s">
        <v>114</v>
      </c>
      <c r="AB42" s="165"/>
      <c r="AC42" s="42">
        <v>3</v>
      </c>
    </row>
    <row r="43" spans="1:30" x14ac:dyDescent="0.35">
      <c r="B43" s="5">
        <v>4</v>
      </c>
      <c r="C43" s="147">
        <f t="shared" si="4"/>
        <v>0.21052631578947367</v>
      </c>
      <c r="D43" s="147"/>
      <c r="F43" t="s">
        <v>25</v>
      </c>
      <c r="G43" s="15"/>
      <c r="H43" s="15"/>
      <c r="I43" s="14">
        <v>45607</v>
      </c>
      <c r="J43" s="16"/>
      <c r="K43" s="15"/>
      <c r="L43" s="15"/>
      <c r="M43" s="15"/>
      <c r="N43" s="15"/>
      <c r="O43" s="15"/>
      <c r="P43" s="15"/>
      <c r="Q43" s="15"/>
      <c r="S43" s="18">
        <v>45565</v>
      </c>
      <c r="T43" s="148" t="s">
        <v>115</v>
      </c>
      <c r="U43" s="148"/>
      <c r="V43" s="149"/>
    </row>
    <row r="44" spans="1:30" ht="15" thickBot="1" x14ac:dyDescent="0.4">
      <c r="B44" s="5">
        <v>5</v>
      </c>
      <c r="C44" s="147">
        <f t="shared" si="4"/>
        <v>0.26315789473684209</v>
      </c>
      <c r="D44" s="147"/>
      <c r="F44" t="s">
        <v>6</v>
      </c>
      <c r="G44" s="15"/>
      <c r="H44" s="15"/>
      <c r="I44" s="15"/>
      <c r="J44" s="15"/>
      <c r="K44" s="16"/>
      <c r="L44" s="15"/>
      <c r="M44" s="14">
        <v>45600</v>
      </c>
      <c r="N44" s="14">
        <v>45572</v>
      </c>
      <c r="O44" s="15"/>
      <c r="P44" s="15"/>
      <c r="Q44" s="15"/>
      <c r="S44" s="18">
        <v>45572</v>
      </c>
      <c r="T44" s="148" t="s">
        <v>118</v>
      </c>
      <c r="U44" s="148"/>
      <c r="V44" s="149"/>
      <c r="X44" s="152" t="s">
        <v>60</v>
      </c>
      <c r="Y44" s="152"/>
      <c r="Z44" s="152"/>
      <c r="AA44" s="152"/>
      <c r="AB44" s="152"/>
      <c r="AC44" s="152"/>
    </row>
    <row r="45" spans="1:30" x14ac:dyDescent="0.35">
      <c r="B45" s="5">
        <v>6</v>
      </c>
      <c r="C45" s="147">
        <f t="shared" si="4"/>
        <v>0.31578947368421051</v>
      </c>
      <c r="D45" s="147"/>
      <c r="F45" t="s">
        <v>29</v>
      </c>
      <c r="G45" s="15"/>
      <c r="H45" s="14">
        <v>45579</v>
      </c>
      <c r="I45" s="15"/>
      <c r="J45" s="15"/>
      <c r="K45" s="15"/>
      <c r="L45" s="16"/>
      <c r="M45" s="15"/>
      <c r="N45" s="15"/>
      <c r="O45" s="15"/>
      <c r="P45" s="15"/>
      <c r="Q45" s="15"/>
      <c r="S45" s="18">
        <v>45579</v>
      </c>
      <c r="T45" s="148" t="s">
        <v>137</v>
      </c>
      <c r="U45" s="148"/>
      <c r="V45" s="149"/>
      <c r="X45" s="19" t="s">
        <v>61</v>
      </c>
      <c r="Y45" s="20" t="s">
        <v>63</v>
      </c>
      <c r="Z45" s="21" t="s">
        <v>1</v>
      </c>
      <c r="AA45" s="26" t="s">
        <v>62</v>
      </c>
      <c r="AB45" s="26" t="s">
        <v>63</v>
      </c>
      <c r="AC45" s="27" t="s">
        <v>1</v>
      </c>
    </row>
    <row r="46" spans="1:30" x14ac:dyDescent="0.35">
      <c r="B46" s="5">
        <v>7</v>
      </c>
      <c r="C46" s="147">
        <f t="shared" si="4"/>
        <v>0.36842105263157893</v>
      </c>
      <c r="D46" s="147"/>
      <c r="F46" t="s">
        <v>98</v>
      </c>
      <c r="G46" s="15"/>
      <c r="H46" s="14">
        <v>45670</v>
      </c>
      <c r="I46" s="14">
        <v>45565</v>
      </c>
      <c r="J46" s="15"/>
      <c r="K46" s="14">
        <v>45600</v>
      </c>
      <c r="L46" s="15"/>
      <c r="M46" s="16"/>
      <c r="N46" s="15"/>
      <c r="O46" s="15"/>
      <c r="P46" s="15"/>
      <c r="Q46" s="14">
        <v>45615</v>
      </c>
      <c r="S46" s="18">
        <v>45586</v>
      </c>
      <c r="T46" s="148" t="s">
        <v>143</v>
      </c>
      <c r="U46" s="148"/>
      <c r="V46" s="149"/>
      <c r="X46" s="22">
        <v>1</v>
      </c>
      <c r="Y46" t="s">
        <v>8</v>
      </c>
      <c r="Z46" s="23">
        <v>18</v>
      </c>
      <c r="AA46">
        <v>12</v>
      </c>
      <c r="AB46" t="s">
        <v>25</v>
      </c>
      <c r="AC46" s="29">
        <v>7</v>
      </c>
    </row>
    <row r="47" spans="1:30" x14ac:dyDescent="0.35">
      <c r="B47" s="5">
        <v>8</v>
      </c>
      <c r="C47" s="147">
        <f t="shared" si="4"/>
        <v>0.42105263157894735</v>
      </c>
      <c r="D47" s="147"/>
      <c r="F47" t="s">
        <v>117</v>
      </c>
      <c r="G47" s="14" t="s">
        <v>171</v>
      </c>
      <c r="H47" s="15"/>
      <c r="I47" s="15"/>
      <c r="J47" s="15"/>
      <c r="K47" s="14">
        <v>45572</v>
      </c>
      <c r="L47" s="15"/>
      <c r="M47" s="15"/>
      <c r="N47" s="16"/>
      <c r="O47" s="14">
        <v>45629</v>
      </c>
      <c r="P47" s="15"/>
      <c r="Q47" s="15"/>
      <c r="S47" s="18">
        <v>45593</v>
      </c>
      <c r="T47" s="148" t="s">
        <v>147</v>
      </c>
      <c r="U47" s="148"/>
      <c r="V47" s="149"/>
      <c r="X47" s="22">
        <v>2</v>
      </c>
      <c r="Y47" t="s">
        <v>100</v>
      </c>
      <c r="Z47" s="23">
        <v>16</v>
      </c>
      <c r="AA47">
        <v>13</v>
      </c>
      <c r="AB47" t="s">
        <v>142</v>
      </c>
      <c r="AC47" s="29">
        <v>5</v>
      </c>
    </row>
    <row r="48" spans="1:30" x14ac:dyDescent="0.35">
      <c r="B48" s="5">
        <v>9</v>
      </c>
      <c r="C48" s="147">
        <f t="shared" si="4"/>
        <v>0.47368421052631576</v>
      </c>
      <c r="D48" s="147"/>
      <c r="F48" t="s">
        <v>39</v>
      </c>
      <c r="G48" s="15"/>
      <c r="H48" s="15"/>
      <c r="I48" s="14">
        <v>45551</v>
      </c>
      <c r="J48" s="15"/>
      <c r="K48" s="15"/>
      <c r="L48" s="15"/>
      <c r="M48" s="15"/>
      <c r="N48" s="14">
        <v>45629</v>
      </c>
      <c r="O48" s="16"/>
      <c r="P48" s="15"/>
      <c r="Q48" s="14">
        <v>45593</v>
      </c>
      <c r="S48" s="18">
        <v>45600</v>
      </c>
      <c r="T48" s="148" t="s">
        <v>148</v>
      </c>
      <c r="U48" s="148"/>
      <c r="V48" s="149"/>
      <c r="X48" s="22">
        <v>3</v>
      </c>
      <c r="Y48" t="s">
        <v>98</v>
      </c>
      <c r="Z48" s="23">
        <v>15</v>
      </c>
      <c r="AA48">
        <v>13</v>
      </c>
      <c r="AB48" t="s">
        <v>150</v>
      </c>
      <c r="AC48" s="29">
        <v>5</v>
      </c>
    </row>
    <row r="49" spans="2:29" x14ac:dyDescent="0.35">
      <c r="B49" s="5">
        <v>10</v>
      </c>
      <c r="C49" s="147">
        <f t="shared" si="4"/>
        <v>0.52631578947368418</v>
      </c>
      <c r="D49" s="147"/>
      <c r="F49" t="s">
        <v>31</v>
      </c>
      <c r="G49" s="15"/>
      <c r="H49" s="15"/>
      <c r="I49" s="14">
        <v>45643</v>
      </c>
      <c r="J49" s="15"/>
      <c r="K49" s="15"/>
      <c r="L49" s="15"/>
      <c r="M49" s="15"/>
      <c r="N49" s="15"/>
      <c r="O49" s="15"/>
      <c r="P49" s="16"/>
      <c r="Q49" s="15"/>
      <c r="S49" s="18">
        <v>45607</v>
      </c>
      <c r="T49" s="148" t="s">
        <v>151</v>
      </c>
      <c r="U49" s="148"/>
      <c r="V49" s="149"/>
      <c r="X49" s="22">
        <v>3</v>
      </c>
      <c r="Y49" t="s">
        <v>5</v>
      </c>
      <c r="Z49" s="23">
        <v>15</v>
      </c>
      <c r="AA49">
        <v>15</v>
      </c>
      <c r="AB49" t="s">
        <v>29</v>
      </c>
      <c r="AC49" s="29">
        <v>4</v>
      </c>
    </row>
    <row r="50" spans="2:29" x14ac:dyDescent="0.35">
      <c r="B50" s="5">
        <v>11</v>
      </c>
      <c r="C50" s="147">
        <f t="shared" si="4"/>
        <v>0.57894736842105265</v>
      </c>
      <c r="D50" s="147"/>
      <c r="F50" t="s">
        <v>111</v>
      </c>
      <c r="G50" s="15"/>
      <c r="H50" s="15"/>
      <c r="I50" s="15"/>
      <c r="J50" s="15"/>
      <c r="K50" s="15"/>
      <c r="L50" s="15"/>
      <c r="M50" s="14">
        <v>45615</v>
      </c>
      <c r="N50" s="15"/>
      <c r="O50" s="14">
        <v>45593</v>
      </c>
      <c r="P50" s="15"/>
      <c r="Q50" s="16"/>
      <c r="S50" s="18">
        <v>45615</v>
      </c>
      <c r="T50" s="148" t="s">
        <v>156</v>
      </c>
      <c r="U50" s="148"/>
      <c r="V50" s="149"/>
      <c r="X50" s="22">
        <v>3</v>
      </c>
      <c r="Y50" t="s">
        <v>6</v>
      </c>
      <c r="Z50" s="23">
        <v>15</v>
      </c>
      <c r="AA50">
        <v>16</v>
      </c>
      <c r="AB50" t="s">
        <v>114</v>
      </c>
      <c r="AC50" s="29">
        <v>3</v>
      </c>
    </row>
    <row r="51" spans="2:29" x14ac:dyDescent="0.35">
      <c r="B51" s="5">
        <v>12</v>
      </c>
      <c r="C51" s="147">
        <f t="shared" si="4"/>
        <v>0.63157894736842102</v>
      </c>
      <c r="D51" s="147"/>
      <c r="G51">
        <v>4</v>
      </c>
      <c r="H51">
        <f t="shared" ref="H51:Q51" si="5">COUNTA(H40:H50)</f>
        <v>3</v>
      </c>
      <c r="I51">
        <f t="shared" si="5"/>
        <v>5</v>
      </c>
      <c r="J51">
        <f t="shared" si="5"/>
        <v>1</v>
      </c>
      <c r="K51">
        <f t="shared" si="5"/>
        <v>2</v>
      </c>
      <c r="L51">
        <f t="shared" si="5"/>
        <v>1</v>
      </c>
      <c r="M51">
        <f t="shared" si="5"/>
        <v>4</v>
      </c>
      <c r="N51">
        <v>4</v>
      </c>
      <c r="O51">
        <f t="shared" si="5"/>
        <v>3</v>
      </c>
      <c r="P51">
        <f t="shared" si="5"/>
        <v>1</v>
      </c>
      <c r="Q51">
        <f t="shared" si="5"/>
        <v>2</v>
      </c>
      <c r="S51" s="18">
        <v>45621</v>
      </c>
      <c r="T51" s="148" t="s">
        <v>42</v>
      </c>
      <c r="U51" s="148"/>
      <c r="V51" s="149"/>
      <c r="X51" s="22">
        <v>6</v>
      </c>
      <c r="Y51" t="s">
        <v>111</v>
      </c>
      <c r="Z51" s="23">
        <v>13</v>
      </c>
      <c r="AA51">
        <v>16</v>
      </c>
      <c r="AB51" t="s">
        <v>81</v>
      </c>
      <c r="AC51" s="29">
        <v>3</v>
      </c>
    </row>
    <row r="52" spans="2:29" x14ac:dyDescent="0.35">
      <c r="B52" s="5">
        <v>13</v>
      </c>
      <c r="C52" s="147">
        <f t="shared" si="4"/>
        <v>0.68421052631578949</v>
      </c>
      <c r="D52" s="147"/>
      <c r="S52" s="18">
        <v>45629</v>
      </c>
      <c r="T52" s="148" t="s">
        <v>157</v>
      </c>
      <c r="U52" s="148"/>
      <c r="V52" s="149"/>
      <c r="X52" s="22">
        <v>7</v>
      </c>
      <c r="Y52" t="s">
        <v>7</v>
      </c>
      <c r="Z52" s="23">
        <v>12</v>
      </c>
      <c r="AA52">
        <v>16</v>
      </c>
      <c r="AB52" t="s">
        <v>36</v>
      </c>
      <c r="AC52" s="29">
        <v>3</v>
      </c>
    </row>
    <row r="53" spans="2:29" x14ac:dyDescent="0.35">
      <c r="B53" s="5">
        <v>14</v>
      </c>
      <c r="C53" s="147">
        <f t="shared" ref="C53" si="6">B53/$D$37</f>
        <v>0.73684210526315785</v>
      </c>
      <c r="D53" s="147"/>
      <c r="S53" s="18">
        <v>45635</v>
      </c>
      <c r="T53" s="148" t="s">
        <v>160</v>
      </c>
      <c r="U53" s="148"/>
      <c r="V53" s="149"/>
      <c r="X53" s="22">
        <v>8</v>
      </c>
      <c r="Y53" t="s">
        <v>39</v>
      </c>
      <c r="Z53" s="23">
        <v>11</v>
      </c>
      <c r="AA53">
        <v>16</v>
      </c>
      <c r="AB53" t="s">
        <v>170</v>
      </c>
      <c r="AC53" s="29">
        <v>3</v>
      </c>
    </row>
    <row r="54" spans="2:29" x14ac:dyDescent="0.35">
      <c r="B54" s="5">
        <v>15</v>
      </c>
      <c r="C54" s="147">
        <f t="shared" ref="C54" si="7">B54/$D$37</f>
        <v>0.78947368421052633</v>
      </c>
      <c r="D54" s="147"/>
      <c r="S54" s="33">
        <v>45643</v>
      </c>
      <c r="T54" s="153" t="s">
        <v>161</v>
      </c>
      <c r="U54" s="153"/>
      <c r="V54" s="154"/>
      <c r="X54" s="22">
        <v>9</v>
      </c>
      <c r="Y54" t="s">
        <v>133</v>
      </c>
      <c r="Z54" s="23">
        <v>9</v>
      </c>
      <c r="AA54">
        <v>20</v>
      </c>
      <c r="AB54" t="s">
        <v>146</v>
      </c>
      <c r="AC54" s="29">
        <v>2</v>
      </c>
    </row>
    <row r="55" spans="2:29" x14ac:dyDescent="0.35">
      <c r="B55" s="5">
        <v>16</v>
      </c>
      <c r="C55" s="147">
        <f t="shared" ref="C55" si="8">B55/$D$37</f>
        <v>0.84210526315789469</v>
      </c>
      <c r="D55" s="147"/>
      <c r="S55" s="18">
        <v>45663</v>
      </c>
      <c r="T55" s="148" t="s">
        <v>166</v>
      </c>
      <c r="U55" s="148"/>
      <c r="V55" s="149"/>
      <c r="X55" s="22">
        <v>10</v>
      </c>
      <c r="Y55" t="s">
        <v>31</v>
      </c>
      <c r="Z55" s="23">
        <v>8</v>
      </c>
      <c r="AA55">
        <v>20</v>
      </c>
      <c r="AB55" t="s">
        <v>154</v>
      </c>
      <c r="AC55" s="29">
        <v>2</v>
      </c>
    </row>
    <row r="56" spans="2:29" ht="15" thickBot="1" x14ac:dyDescent="0.4">
      <c r="B56" s="5">
        <v>17</v>
      </c>
      <c r="C56" s="147">
        <f t="shared" ref="C56" si="9">B56/$D$37</f>
        <v>0.89473684210526316</v>
      </c>
      <c r="D56" s="147"/>
      <c r="S56" s="38">
        <v>45670</v>
      </c>
      <c r="T56" s="148" t="s">
        <v>167</v>
      </c>
      <c r="U56" s="148"/>
      <c r="V56" s="149"/>
      <c r="X56" s="24">
        <v>10</v>
      </c>
      <c r="Y56" s="37" t="s">
        <v>122</v>
      </c>
      <c r="Z56" s="25">
        <v>8</v>
      </c>
      <c r="AA56">
        <v>20</v>
      </c>
      <c r="AB56" t="s">
        <v>13</v>
      </c>
      <c r="AC56" s="29">
        <v>2</v>
      </c>
    </row>
    <row r="57" spans="2:29" x14ac:dyDescent="0.35">
      <c r="B57" s="5">
        <v>18</v>
      </c>
      <c r="C57" s="147">
        <f t="shared" ref="C57" si="10">B57/$D$37</f>
        <v>0.94736842105263153</v>
      </c>
      <c r="D57" s="147"/>
      <c r="S57" s="18">
        <v>45677</v>
      </c>
      <c r="T57" s="148" t="s">
        <v>168</v>
      </c>
      <c r="U57" s="148"/>
      <c r="V57" s="149"/>
      <c r="AA57" s="28">
        <v>23</v>
      </c>
      <c r="AB57" t="s">
        <v>82</v>
      </c>
      <c r="AC57" s="29">
        <v>1</v>
      </c>
    </row>
    <row r="58" spans="2:29" ht="15" thickBot="1" x14ac:dyDescent="0.4">
      <c r="B58" s="5">
        <v>19</v>
      </c>
      <c r="C58" s="147">
        <f t="shared" ref="C58" si="11">B58/$D$37</f>
        <v>1</v>
      </c>
      <c r="D58" s="147"/>
      <c r="O58" s="15"/>
      <c r="S58" s="34">
        <v>45685</v>
      </c>
      <c r="T58" s="150" t="s">
        <v>143</v>
      </c>
      <c r="U58" s="150"/>
      <c r="V58" s="151"/>
      <c r="AA58" s="28">
        <v>23</v>
      </c>
      <c r="AB58" t="s">
        <v>102</v>
      </c>
      <c r="AC58" s="29">
        <v>1</v>
      </c>
    </row>
    <row r="59" spans="2:29" x14ac:dyDescent="0.35">
      <c r="O59" s="15"/>
      <c r="AA59" s="28">
        <v>23</v>
      </c>
      <c r="AB59" t="s">
        <v>92</v>
      </c>
      <c r="AC59" s="29">
        <v>1</v>
      </c>
    </row>
    <row r="60" spans="2:29" x14ac:dyDescent="0.35">
      <c r="O60" s="15"/>
      <c r="AA60" s="28">
        <v>23</v>
      </c>
      <c r="AB60" t="s">
        <v>107</v>
      </c>
      <c r="AC60" s="29">
        <v>1</v>
      </c>
    </row>
    <row r="61" spans="2:29" x14ac:dyDescent="0.35">
      <c r="O61" s="15"/>
      <c r="AA61" s="28">
        <v>23</v>
      </c>
      <c r="AB61" t="s">
        <v>86</v>
      </c>
      <c r="AC61" s="29">
        <v>1</v>
      </c>
    </row>
    <row r="62" spans="2:29" x14ac:dyDescent="0.35">
      <c r="O62" s="15"/>
      <c r="AA62" s="28">
        <v>23</v>
      </c>
      <c r="AB62" t="s">
        <v>153</v>
      </c>
      <c r="AC62" s="29">
        <v>1</v>
      </c>
    </row>
    <row r="63" spans="2:29" x14ac:dyDescent="0.35">
      <c r="O63" s="15"/>
      <c r="AA63" s="28">
        <v>23</v>
      </c>
      <c r="AB63" t="s">
        <v>109</v>
      </c>
      <c r="AC63" s="29">
        <v>1</v>
      </c>
    </row>
    <row r="64" spans="2:29" x14ac:dyDescent="0.35">
      <c r="O64" s="15"/>
      <c r="AA64" s="28">
        <v>23</v>
      </c>
      <c r="AB64" t="s">
        <v>165</v>
      </c>
      <c r="AC64" s="29">
        <v>1</v>
      </c>
    </row>
    <row r="65" spans="8:29" x14ac:dyDescent="0.35">
      <c r="O65" s="15"/>
      <c r="AA65" s="28">
        <v>23</v>
      </c>
      <c r="AB65" t="s">
        <v>159</v>
      </c>
      <c r="AC65" s="29">
        <v>1</v>
      </c>
    </row>
    <row r="66" spans="8:29" x14ac:dyDescent="0.35">
      <c r="O66" s="15"/>
      <c r="AA66" s="28">
        <v>23</v>
      </c>
      <c r="AB66" t="s">
        <v>106</v>
      </c>
      <c r="AC66" s="29">
        <v>1</v>
      </c>
    </row>
    <row r="67" spans="8:29" x14ac:dyDescent="0.35">
      <c r="O67" s="15"/>
      <c r="AA67" s="30">
        <v>23</v>
      </c>
      <c r="AB67" s="31" t="s">
        <v>163</v>
      </c>
      <c r="AC67" s="32">
        <v>1</v>
      </c>
    </row>
    <row r="71" spans="8:29" x14ac:dyDescent="0.35"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87" spans="4:19" x14ac:dyDescent="0.35"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9" spans="4:19" x14ac:dyDescent="0.35"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</sheetData>
  <autoFilter ref="A2:J37" xr:uid="{9D25F461-BD59-4555-87EE-8E81034403D5}">
    <sortState xmlns:xlrd2="http://schemas.microsoft.com/office/spreadsheetml/2017/richdata2" ref="A3:J37">
      <sortCondition descending="1" ref="J2:J37"/>
    </sortState>
  </autoFilter>
  <sortState xmlns:xlrd2="http://schemas.microsoft.com/office/spreadsheetml/2017/richdata2" ref="A3:AD35">
    <sortCondition descending="1" ref="J3:J35"/>
    <sortCondition descending="1" ref="D3:D35"/>
  </sortState>
  <mergeCells count="50">
    <mergeCell ref="T57:V57"/>
    <mergeCell ref="T58:V58"/>
    <mergeCell ref="C52:D52"/>
    <mergeCell ref="T54:V54"/>
    <mergeCell ref="T55:V55"/>
    <mergeCell ref="T56:V56"/>
    <mergeCell ref="T53:V53"/>
    <mergeCell ref="T52:V52"/>
    <mergeCell ref="C54:D54"/>
    <mergeCell ref="C55:D55"/>
    <mergeCell ref="C56:D56"/>
    <mergeCell ref="C57:D57"/>
    <mergeCell ref="C58:D58"/>
    <mergeCell ref="T50:V50"/>
    <mergeCell ref="C50:D50"/>
    <mergeCell ref="C48:D48"/>
    <mergeCell ref="C49:D49"/>
    <mergeCell ref="C53:D53"/>
    <mergeCell ref="C51:D51"/>
    <mergeCell ref="T51:V51"/>
    <mergeCell ref="A1:AD1"/>
    <mergeCell ref="X42:Z42"/>
    <mergeCell ref="X41:Z41"/>
    <mergeCell ref="X40:Z40"/>
    <mergeCell ref="X39:Z39"/>
    <mergeCell ref="T39:V39"/>
    <mergeCell ref="T40:V40"/>
    <mergeCell ref="T41:V41"/>
    <mergeCell ref="T42:V42"/>
    <mergeCell ref="C40:D40"/>
    <mergeCell ref="C41:D41"/>
    <mergeCell ref="C42:D42"/>
    <mergeCell ref="AA39:AB39"/>
    <mergeCell ref="AA40:AB40"/>
    <mergeCell ref="AA41:AB41"/>
    <mergeCell ref="AA42:AB42"/>
    <mergeCell ref="B39:D39"/>
    <mergeCell ref="T48:V48"/>
    <mergeCell ref="T49:V49"/>
    <mergeCell ref="C43:D43"/>
    <mergeCell ref="C44:D44"/>
    <mergeCell ref="C45:D45"/>
    <mergeCell ref="C46:D46"/>
    <mergeCell ref="C47:D47"/>
    <mergeCell ref="T47:V47"/>
    <mergeCell ref="X44:AC44"/>
    <mergeCell ref="T44:V44"/>
    <mergeCell ref="T45:V45"/>
    <mergeCell ref="T46:V46"/>
    <mergeCell ref="T43:V43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F216-F103-48DC-B6F5-D76097A78343}">
  <sheetPr>
    <tabColor theme="5" tint="0.39997558519241921"/>
  </sheetPr>
  <dimension ref="A1:AF104"/>
  <sheetViews>
    <sheetView zoomScale="50" zoomScaleNormal="50" workbookViewId="0">
      <selection sqref="A1:AD1"/>
    </sheetView>
  </sheetViews>
  <sheetFormatPr defaultRowHeight="14.5" x14ac:dyDescent="0.35"/>
  <cols>
    <col min="2" max="2" width="25.6328125" bestFit="1" customWidth="1"/>
    <col min="3" max="3" width="25.6328125" customWidth="1"/>
    <col min="7" max="8" width="8.7265625" customWidth="1"/>
    <col min="28" max="28" width="8.08984375" customWidth="1"/>
  </cols>
  <sheetData>
    <row r="1" spans="1:32" ht="18.5" x14ac:dyDescent="0.45">
      <c r="A1" s="157" t="s">
        <v>228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</row>
    <row r="2" spans="1:32" x14ac:dyDescent="0.35">
      <c r="A2" t="s">
        <v>20</v>
      </c>
      <c r="B2" t="s">
        <v>0</v>
      </c>
      <c r="C2" t="s">
        <v>96</v>
      </c>
      <c r="D2" t="s">
        <v>1</v>
      </c>
      <c r="E2" t="s">
        <v>2</v>
      </c>
      <c r="F2" t="s">
        <v>17</v>
      </c>
      <c r="G2" t="s">
        <v>3</v>
      </c>
      <c r="H2" t="s">
        <v>19</v>
      </c>
      <c r="I2" t="s">
        <v>22</v>
      </c>
      <c r="J2" t="s">
        <v>21</v>
      </c>
      <c r="L2" s="15">
        <v>45722</v>
      </c>
      <c r="M2" s="15">
        <v>45729</v>
      </c>
      <c r="N2" s="15">
        <v>45733</v>
      </c>
      <c r="O2" s="15">
        <v>45740</v>
      </c>
      <c r="P2" s="15">
        <v>45747</v>
      </c>
      <c r="Q2" s="15">
        <v>45754</v>
      </c>
      <c r="R2" s="15">
        <v>45761</v>
      </c>
      <c r="S2" s="15">
        <v>45768</v>
      </c>
      <c r="T2" s="15">
        <v>45776</v>
      </c>
      <c r="U2" s="15">
        <v>45782</v>
      </c>
      <c r="V2" s="15">
        <v>45789</v>
      </c>
      <c r="W2" s="15">
        <v>45796</v>
      </c>
      <c r="X2" s="15">
        <v>45803</v>
      </c>
      <c r="Y2" s="15">
        <v>45813</v>
      </c>
      <c r="Z2" s="15">
        <v>45819</v>
      </c>
      <c r="AA2" s="15">
        <v>45824</v>
      </c>
      <c r="AB2" s="15">
        <v>45834</v>
      </c>
      <c r="AC2" s="15">
        <v>45838</v>
      </c>
      <c r="AD2" s="15">
        <f t="shared" ref="AD2" si="0">AC2+7</f>
        <v>45845</v>
      </c>
    </row>
    <row r="3" spans="1:32" x14ac:dyDescent="0.35">
      <c r="A3">
        <v>1</v>
      </c>
      <c r="B3" t="s">
        <v>116</v>
      </c>
      <c r="C3" t="s">
        <v>5</v>
      </c>
      <c r="D3">
        <f t="shared" ref="D3:D50" si="1">+COUNTA(L3:AD3)</f>
        <v>19</v>
      </c>
      <c r="E3">
        <f t="shared" ref="E3:E50" si="2">+COUNTIF(L3:AD3,"W")</f>
        <v>12</v>
      </c>
      <c r="F3">
        <f t="shared" ref="F3:F50" si="3">+COUNTIF(L3:AD3,"L")</f>
        <v>7</v>
      </c>
      <c r="G3" s="1">
        <f t="shared" ref="G3:G50" si="4">E3/D3</f>
        <v>0.63157894736842102</v>
      </c>
      <c r="H3" s="1">
        <f t="shared" ref="H3:H50" si="5">VLOOKUP(D3,$B$55:$C$73,2,FALSE)</f>
        <v>1</v>
      </c>
      <c r="I3" s="6">
        <f>+E3/D3</f>
        <v>0.63157894736842102</v>
      </c>
      <c r="J3" s="12">
        <f>I3*H3</f>
        <v>0.63157894736842102</v>
      </c>
      <c r="L3" s="3" t="s">
        <v>12</v>
      </c>
      <c r="M3" s="3" t="s">
        <v>12</v>
      </c>
      <c r="N3" s="3" t="s">
        <v>12</v>
      </c>
      <c r="O3" s="3" t="s">
        <v>11</v>
      </c>
      <c r="P3" s="3" t="s">
        <v>11</v>
      </c>
      <c r="Q3" s="3" t="s">
        <v>12</v>
      </c>
      <c r="R3" s="3" t="s">
        <v>11</v>
      </c>
      <c r="S3" s="3" t="s">
        <v>11</v>
      </c>
      <c r="T3" s="3" t="s">
        <v>12</v>
      </c>
      <c r="U3" s="3" t="s">
        <v>11</v>
      </c>
      <c r="V3" s="3" t="s">
        <v>12</v>
      </c>
      <c r="W3" s="3" t="s">
        <v>12</v>
      </c>
      <c r="X3" s="3" t="s">
        <v>12</v>
      </c>
      <c r="Y3" s="3" t="s">
        <v>12</v>
      </c>
      <c r="Z3" s="3" t="s">
        <v>11</v>
      </c>
      <c r="AA3" s="3" t="s">
        <v>12</v>
      </c>
      <c r="AB3" s="3" t="s">
        <v>11</v>
      </c>
      <c r="AC3" s="3" t="s">
        <v>12</v>
      </c>
      <c r="AD3" s="3" t="s">
        <v>12</v>
      </c>
    </row>
    <row r="4" spans="1:32" x14ac:dyDescent="0.35">
      <c r="A4">
        <v>2</v>
      </c>
      <c r="B4" t="s">
        <v>91</v>
      </c>
      <c r="C4" t="s">
        <v>8</v>
      </c>
      <c r="D4">
        <f t="shared" si="1"/>
        <v>18</v>
      </c>
      <c r="E4">
        <f t="shared" si="2"/>
        <v>9</v>
      </c>
      <c r="F4">
        <f t="shared" si="3"/>
        <v>9</v>
      </c>
      <c r="G4" s="1">
        <f t="shared" si="4"/>
        <v>0.5</v>
      </c>
      <c r="H4" s="1">
        <f t="shared" si="5"/>
        <v>0.94736842105263153</v>
      </c>
      <c r="I4" s="6">
        <f t="shared" ref="I4:I50" si="6">+E4/D4</f>
        <v>0.5</v>
      </c>
      <c r="J4" s="7">
        <f t="shared" ref="J4:J50" si="7">I4*H4</f>
        <v>0.47368421052631576</v>
      </c>
      <c r="L4" s="3" t="s">
        <v>12</v>
      </c>
      <c r="M4" s="3" t="s">
        <v>11</v>
      </c>
      <c r="N4" s="3" t="s">
        <v>11</v>
      </c>
      <c r="O4" s="3" t="s">
        <v>12</v>
      </c>
      <c r="P4" s="3" t="s">
        <v>12</v>
      </c>
      <c r="Q4" s="4"/>
      <c r="R4" s="3" t="s">
        <v>11</v>
      </c>
      <c r="S4" s="3" t="s">
        <v>11</v>
      </c>
      <c r="T4" s="3" t="s">
        <v>12</v>
      </c>
      <c r="U4" s="3" t="s">
        <v>11</v>
      </c>
      <c r="V4" s="3" t="s">
        <v>12</v>
      </c>
      <c r="W4" s="3" t="s">
        <v>12</v>
      </c>
      <c r="X4" s="3" t="s">
        <v>12</v>
      </c>
      <c r="Y4" s="3" t="s">
        <v>11</v>
      </c>
      <c r="Z4" s="3" t="s">
        <v>12</v>
      </c>
      <c r="AA4" s="3" t="s">
        <v>11</v>
      </c>
      <c r="AB4" s="3" t="s">
        <v>12</v>
      </c>
      <c r="AC4" s="3" t="s">
        <v>11</v>
      </c>
      <c r="AD4" s="3" t="s">
        <v>11</v>
      </c>
    </row>
    <row r="5" spans="1:32" x14ac:dyDescent="0.35">
      <c r="A5">
        <v>3</v>
      </c>
      <c r="B5" t="s">
        <v>37</v>
      </c>
      <c r="C5" t="s">
        <v>133</v>
      </c>
      <c r="D5">
        <f t="shared" si="1"/>
        <v>12</v>
      </c>
      <c r="E5">
        <f t="shared" si="2"/>
        <v>7</v>
      </c>
      <c r="F5">
        <f t="shared" si="3"/>
        <v>5</v>
      </c>
      <c r="G5" s="1">
        <f t="shared" si="4"/>
        <v>0.58333333333333337</v>
      </c>
      <c r="H5" s="1">
        <f t="shared" si="5"/>
        <v>0.63157894736842102</v>
      </c>
      <c r="I5" s="6">
        <f t="shared" si="6"/>
        <v>0.58333333333333337</v>
      </c>
      <c r="J5" s="13">
        <f t="shared" si="7"/>
        <v>0.36842105263157893</v>
      </c>
      <c r="L5" s="3" t="s">
        <v>11</v>
      </c>
      <c r="M5" s="3" t="s">
        <v>12</v>
      </c>
      <c r="N5" s="3" t="s">
        <v>12</v>
      </c>
      <c r="O5" s="3" t="s">
        <v>11</v>
      </c>
      <c r="P5" s="3" t="s">
        <v>12</v>
      </c>
      <c r="Q5" s="3" t="s">
        <v>11</v>
      </c>
      <c r="R5" s="3" t="s">
        <v>12</v>
      </c>
      <c r="S5" s="3" t="s">
        <v>12</v>
      </c>
      <c r="T5" s="3" t="s">
        <v>11</v>
      </c>
      <c r="U5" s="3" t="s">
        <v>12</v>
      </c>
      <c r="V5" s="4"/>
      <c r="W5" s="3" t="s">
        <v>12</v>
      </c>
      <c r="X5" s="3" t="s">
        <v>11</v>
      </c>
      <c r="Y5" s="79"/>
      <c r="Z5" s="79"/>
      <c r="AA5" s="79"/>
      <c r="AB5" s="79"/>
      <c r="AC5" s="79"/>
      <c r="AD5" s="79"/>
    </row>
    <row r="6" spans="1:32" x14ac:dyDescent="0.35">
      <c r="A6">
        <v>4</v>
      </c>
      <c r="B6" t="s">
        <v>94</v>
      </c>
      <c r="C6" t="s">
        <v>7</v>
      </c>
      <c r="D6">
        <f t="shared" si="1"/>
        <v>12</v>
      </c>
      <c r="E6">
        <f t="shared" si="2"/>
        <v>6</v>
      </c>
      <c r="F6">
        <f t="shared" si="3"/>
        <v>6</v>
      </c>
      <c r="G6" s="1">
        <f t="shared" si="4"/>
        <v>0.5</v>
      </c>
      <c r="H6" s="1">
        <f t="shared" si="5"/>
        <v>0.63157894736842102</v>
      </c>
      <c r="I6" s="6">
        <f t="shared" si="6"/>
        <v>0.5</v>
      </c>
      <c r="J6" s="13">
        <f t="shared" si="7"/>
        <v>0.31578947368421051</v>
      </c>
      <c r="L6" s="4"/>
      <c r="M6" s="3" t="s">
        <v>11</v>
      </c>
      <c r="N6" s="3" t="s">
        <v>11</v>
      </c>
      <c r="O6" s="4"/>
      <c r="P6" s="3" t="s">
        <v>12</v>
      </c>
      <c r="Q6" s="3" t="s">
        <v>11</v>
      </c>
      <c r="R6" s="3" t="s">
        <v>11</v>
      </c>
      <c r="S6" s="3" t="s">
        <v>12</v>
      </c>
      <c r="T6" s="4"/>
      <c r="U6" s="4"/>
      <c r="V6" s="3" t="s">
        <v>11</v>
      </c>
      <c r="W6" s="3" t="s">
        <v>11</v>
      </c>
      <c r="X6" s="3" t="s">
        <v>12</v>
      </c>
      <c r="Y6" s="79"/>
      <c r="Z6" s="79"/>
      <c r="AA6" s="79"/>
      <c r="AB6" s="3" t="s">
        <v>12</v>
      </c>
      <c r="AC6" s="3" t="s">
        <v>12</v>
      </c>
      <c r="AD6" s="3" t="s">
        <v>12</v>
      </c>
    </row>
    <row r="7" spans="1:32" x14ac:dyDescent="0.35">
      <c r="A7">
        <v>5</v>
      </c>
      <c r="B7" t="s">
        <v>110</v>
      </c>
      <c r="C7" t="s">
        <v>111</v>
      </c>
      <c r="D7">
        <f t="shared" si="1"/>
        <v>7</v>
      </c>
      <c r="E7">
        <f t="shared" si="2"/>
        <v>5</v>
      </c>
      <c r="F7">
        <f t="shared" si="3"/>
        <v>2</v>
      </c>
      <c r="G7" s="1">
        <f t="shared" si="4"/>
        <v>0.7142857142857143</v>
      </c>
      <c r="H7" s="1">
        <f t="shared" si="5"/>
        <v>0.36842105263157893</v>
      </c>
      <c r="I7" s="6">
        <f t="shared" si="6"/>
        <v>0.7142857142857143</v>
      </c>
      <c r="J7" s="13">
        <f t="shared" si="7"/>
        <v>0.26315789473684209</v>
      </c>
      <c r="L7" s="4"/>
      <c r="M7" s="4"/>
      <c r="N7" s="3" t="s">
        <v>12</v>
      </c>
      <c r="O7" s="4"/>
      <c r="P7" s="3" t="s">
        <v>11</v>
      </c>
      <c r="Q7" s="3" t="s">
        <v>12</v>
      </c>
      <c r="R7" s="4"/>
      <c r="S7" s="3" t="s">
        <v>12</v>
      </c>
      <c r="T7" s="4"/>
      <c r="U7" s="3" t="s">
        <v>12</v>
      </c>
      <c r="V7" s="3" t="s">
        <v>11</v>
      </c>
      <c r="W7" s="3" t="s">
        <v>12</v>
      </c>
      <c r="X7" s="4"/>
      <c r="Y7" s="79"/>
      <c r="Z7" s="79"/>
      <c r="AA7" s="79"/>
      <c r="AB7" s="79"/>
      <c r="AC7" s="79"/>
      <c r="AD7" s="79"/>
      <c r="AF7" s="104"/>
    </row>
    <row r="8" spans="1:32" x14ac:dyDescent="0.35">
      <c r="A8">
        <v>5</v>
      </c>
      <c r="B8" t="s">
        <v>90</v>
      </c>
      <c r="C8" t="s">
        <v>6</v>
      </c>
      <c r="D8">
        <f t="shared" si="1"/>
        <v>9</v>
      </c>
      <c r="E8">
        <f t="shared" si="2"/>
        <v>5</v>
      </c>
      <c r="F8">
        <f t="shared" si="3"/>
        <v>4</v>
      </c>
      <c r="G8" s="1">
        <f t="shared" si="4"/>
        <v>0.55555555555555558</v>
      </c>
      <c r="H8" s="1">
        <f t="shared" si="5"/>
        <v>0.47368421052631576</v>
      </c>
      <c r="I8" s="6">
        <f t="shared" si="6"/>
        <v>0.55555555555555558</v>
      </c>
      <c r="J8" s="13">
        <f t="shared" si="7"/>
        <v>0.26315789473684209</v>
      </c>
      <c r="L8" s="4"/>
      <c r="M8" s="4"/>
      <c r="N8" s="4"/>
      <c r="O8" s="3" t="s">
        <v>12</v>
      </c>
      <c r="P8" s="4"/>
      <c r="Q8" s="3" t="s">
        <v>12</v>
      </c>
      <c r="R8" s="3" t="s">
        <v>12</v>
      </c>
      <c r="S8" s="3" t="s">
        <v>11</v>
      </c>
      <c r="T8" s="4"/>
      <c r="U8" s="4"/>
      <c r="V8" s="4"/>
      <c r="W8" s="4"/>
      <c r="X8" s="3" t="s">
        <v>11</v>
      </c>
      <c r="Y8" s="3" t="s">
        <v>12</v>
      </c>
      <c r="Z8" s="79"/>
      <c r="AA8" s="79"/>
      <c r="AB8" s="3" t="s">
        <v>12</v>
      </c>
      <c r="AC8" s="3" t="s">
        <v>11</v>
      </c>
      <c r="AD8" s="3" t="s">
        <v>11</v>
      </c>
    </row>
    <row r="9" spans="1:32" x14ac:dyDescent="0.35">
      <c r="A9">
        <v>5</v>
      </c>
      <c r="B9" t="s">
        <v>126</v>
      </c>
      <c r="C9" t="s">
        <v>34</v>
      </c>
      <c r="D9">
        <f t="shared" si="1"/>
        <v>9</v>
      </c>
      <c r="E9">
        <f t="shared" si="2"/>
        <v>5</v>
      </c>
      <c r="F9">
        <f t="shared" si="3"/>
        <v>4</v>
      </c>
      <c r="G9" s="1">
        <f t="shared" si="4"/>
        <v>0.55555555555555558</v>
      </c>
      <c r="H9" s="1">
        <f t="shared" si="5"/>
        <v>0.47368421052631576</v>
      </c>
      <c r="I9" s="6">
        <f t="shared" si="6"/>
        <v>0.55555555555555558</v>
      </c>
      <c r="J9" s="13">
        <f t="shared" si="7"/>
        <v>0.26315789473684209</v>
      </c>
      <c r="L9" s="4"/>
      <c r="M9" s="4"/>
      <c r="N9" s="4"/>
      <c r="O9" s="4"/>
      <c r="P9" s="4"/>
      <c r="Q9" s="4"/>
      <c r="R9" s="4"/>
      <c r="S9" s="4"/>
      <c r="T9" s="4"/>
      <c r="U9" s="4"/>
      <c r="V9" s="3" t="s">
        <v>11</v>
      </c>
      <c r="W9" s="3" t="s">
        <v>11</v>
      </c>
      <c r="X9" s="3" t="s">
        <v>12</v>
      </c>
      <c r="Y9" s="3" t="s">
        <v>12</v>
      </c>
      <c r="Z9" s="3" t="s">
        <v>11</v>
      </c>
      <c r="AA9" s="3" t="s">
        <v>12</v>
      </c>
      <c r="AB9" s="3" t="s">
        <v>11</v>
      </c>
      <c r="AC9" s="3" t="s">
        <v>12</v>
      </c>
      <c r="AD9" s="3" t="s">
        <v>12</v>
      </c>
    </row>
    <row r="10" spans="1:32" x14ac:dyDescent="0.35">
      <c r="A10">
        <v>8</v>
      </c>
      <c r="B10" t="s">
        <v>158</v>
      </c>
      <c r="C10" t="s">
        <v>159</v>
      </c>
      <c r="D10">
        <f t="shared" si="1"/>
        <v>6</v>
      </c>
      <c r="E10">
        <f t="shared" si="2"/>
        <v>4</v>
      </c>
      <c r="F10">
        <f t="shared" si="3"/>
        <v>2</v>
      </c>
      <c r="G10" s="1">
        <f t="shared" si="4"/>
        <v>0.66666666666666663</v>
      </c>
      <c r="H10" s="1">
        <f t="shared" si="5"/>
        <v>0.31578947368421051</v>
      </c>
      <c r="I10" s="6">
        <f t="shared" si="6"/>
        <v>0.66666666666666663</v>
      </c>
      <c r="J10" s="13">
        <f t="shared" si="7"/>
        <v>0.21052631578947367</v>
      </c>
      <c r="L10" s="4"/>
      <c r="M10" s="4"/>
      <c r="N10" s="4"/>
      <c r="O10" s="4"/>
      <c r="P10" s="4"/>
      <c r="Q10" s="4"/>
      <c r="R10" s="4"/>
      <c r="S10" s="4"/>
      <c r="T10" s="3" t="s">
        <v>12</v>
      </c>
      <c r="U10" s="3" t="s">
        <v>12</v>
      </c>
      <c r="V10" s="3" t="s">
        <v>12</v>
      </c>
      <c r="W10" s="3" t="s">
        <v>12</v>
      </c>
      <c r="X10" s="3" t="s">
        <v>11</v>
      </c>
      <c r="Y10" s="79"/>
      <c r="Z10" s="79"/>
      <c r="AA10" s="79"/>
      <c r="AB10" s="79"/>
      <c r="AC10" s="3" t="s">
        <v>11</v>
      </c>
      <c r="AD10" s="79"/>
    </row>
    <row r="11" spans="1:32" x14ac:dyDescent="0.35">
      <c r="A11">
        <v>8</v>
      </c>
      <c r="B11" t="s">
        <v>97</v>
      </c>
      <c r="C11" t="s">
        <v>98</v>
      </c>
      <c r="D11">
        <f t="shared" si="1"/>
        <v>9</v>
      </c>
      <c r="E11">
        <f t="shared" si="2"/>
        <v>4</v>
      </c>
      <c r="F11">
        <f t="shared" si="3"/>
        <v>5</v>
      </c>
      <c r="G11" s="1">
        <f t="shared" si="4"/>
        <v>0.44444444444444442</v>
      </c>
      <c r="H11" s="1">
        <f t="shared" si="5"/>
        <v>0.47368421052631576</v>
      </c>
      <c r="I11" s="6">
        <f t="shared" si="6"/>
        <v>0.44444444444444442</v>
      </c>
      <c r="J11" s="13">
        <f t="shared" si="7"/>
        <v>0.21052631578947367</v>
      </c>
      <c r="L11" s="4"/>
      <c r="M11" s="4"/>
      <c r="N11" s="3" t="s">
        <v>12</v>
      </c>
      <c r="O11" s="3" t="s">
        <v>11</v>
      </c>
      <c r="P11" s="4"/>
      <c r="Q11" s="3" t="s">
        <v>11</v>
      </c>
      <c r="R11" s="4"/>
      <c r="S11" s="3" t="s">
        <v>12</v>
      </c>
      <c r="T11" s="4"/>
      <c r="U11" s="3" t="s">
        <v>11</v>
      </c>
      <c r="V11" s="3" t="s">
        <v>12</v>
      </c>
      <c r="W11" s="4"/>
      <c r="X11" s="3" t="s">
        <v>11</v>
      </c>
      <c r="Y11" s="79"/>
      <c r="Z11" s="3" t="s">
        <v>11</v>
      </c>
      <c r="AA11" s="79"/>
      <c r="AB11" s="79"/>
      <c r="AC11" s="3" t="s">
        <v>12</v>
      </c>
      <c r="AD11" s="79"/>
    </row>
    <row r="12" spans="1:32" x14ac:dyDescent="0.35">
      <c r="A12">
        <v>10</v>
      </c>
      <c r="B12" t="s">
        <v>149</v>
      </c>
      <c r="C12" t="s">
        <v>150</v>
      </c>
      <c r="D12">
        <f t="shared" si="1"/>
        <v>4</v>
      </c>
      <c r="E12">
        <f t="shared" si="2"/>
        <v>3</v>
      </c>
      <c r="F12">
        <f t="shared" si="3"/>
        <v>1</v>
      </c>
      <c r="G12" s="1">
        <f t="shared" si="4"/>
        <v>0.75</v>
      </c>
      <c r="H12" s="1">
        <f t="shared" si="5"/>
        <v>0.21052631578947367</v>
      </c>
      <c r="I12" s="6">
        <f t="shared" si="6"/>
        <v>0.75</v>
      </c>
      <c r="J12" s="80">
        <f t="shared" si="7"/>
        <v>0.15789473684210525</v>
      </c>
      <c r="L12" s="4"/>
      <c r="M12" s="4"/>
      <c r="N12" s="3" t="s">
        <v>12</v>
      </c>
      <c r="O12" s="3" t="s">
        <v>12</v>
      </c>
      <c r="P12" s="4"/>
      <c r="Q12" s="3" t="s">
        <v>11</v>
      </c>
      <c r="R12" s="4"/>
      <c r="S12" s="3" t="s">
        <v>12</v>
      </c>
      <c r="T12" s="4"/>
      <c r="U12" s="4"/>
      <c r="V12" s="4"/>
      <c r="W12" s="4"/>
      <c r="X12" s="4"/>
      <c r="Y12" s="79"/>
      <c r="Z12" s="79"/>
      <c r="AA12" s="79"/>
      <c r="AB12" s="79"/>
      <c r="AC12" s="79"/>
      <c r="AD12" s="79"/>
    </row>
    <row r="13" spans="1:32" x14ac:dyDescent="0.35">
      <c r="A13">
        <v>10</v>
      </c>
      <c r="B13" t="s">
        <v>170</v>
      </c>
      <c r="C13" t="s">
        <v>170</v>
      </c>
      <c r="D13">
        <f t="shared" si="1"/>
        <v>6</v>
      </c>
      <c r="E13">
        <f t="shared" si="2"/>
        <v>3</v>
      </c>
      <c r="F13">
        <f t="shared" si="3"/>
        <v>3</v>
      </c>
      <c r="G13" s="1">
        <f t="shared" si="4"/>
        <v>0.5</v>
      </c>
      <c r="H13" s="1">
        <f t="shared" si="5"/>
        <v>0.31578947368421051</v>
      </c>
      <c r="I13" s="6">
        <f t="shared" si="6"/>
        <v>0.5</v>
      </c>
      <c r="J13" s="80">
        <f t="shared" si="7"/>
        <v>0.15789473684210525</v>
      </c>
      <c r="L13" s="3" t="s">
        <v>11</v>
      </c>
      <c r="M13" s="3" t="s">
        <v>11</v>
      </c>
      <c r="N13" s="4"/>
      <c r="O13" s="4"/>
      <c r="P13" s="4"/>
      <c r="Q13" s="3" t="s">
        <v>12</v>
      </c>
      <c r="R13" s="3" t="s">
        <v>12</v>
      </c>
      <c r="S13" s="4"/>
      <c r="T13" s="3" t="s">
        <v>11</v>
      </c>
      <c r="U13" s="3" t="s">
        <v>12</v>
      </c>
      <c r="V13" s="4"/>
      <c r="W13" s="4"/>
      <c r="X13" s="4"/>
      <c r="Y13" s="79"/>
      <c r="Z13" s="79"/>
      <c r="AA13" s="79"/>
      <c r="AB13" s="79"/>
      <c r="AC13" s="79"/>
      <c r="AD13" s="79"/>
    </row>
    <row r="14" spans="1:32" x14ac:dyDescent="0.35">
      <c r="A14">
        <v>10</v>
      </c>
      <c r="B14" t="s">
        <v>104</v>
      </c>
      <c r="C14" t="s">
        <v>107</v>
      </c>
      <c r="D14">
        <f t="shared" si="1"/>
        <v>3</v>
      </c>
      <c r="E14">
        <f t="shared" si="2"/>
        <v>3</v>
      </c>
      <c r="F14">
        <f t="shared" si="3"/>
        <v>0</v>
      </c>
      <c r="G14" s="1">
        <f t="shared" si="4"/>
        <v>1</v>
      </c>
      <c r="H14" s="1">
        <f t="shared" si="5"/>
        <v>0.15789473684210525</v>
      </c>
      <c r="I14" s="6">
        <f t="shared" si="6"/>
        <v>1</v>
      </c>
      <c r="J14" s="80">
        <f t="shared" si="7"/>
        <v>0.15789473684210525</v>
      </c>
      <c r="L14" s="3" t="s">
        <v>12</v>
      </c>
      <c r="M14" s="4"/>
      <c r="N14" s="4"/>
      <c r="O14" s="4"/>
      <c r="P14" s="3" t="s">
        <v>12</v>
      </c>
      <c r="Q14" s="4"/>
      <c r="R14" s="4"/>
      <c r="S14" s="4"/>
      <c r="T14" s="4"/>
      <c r="U14" s="4"/>
      <c r="V14" s="4"/>
      <c r="W14" s="4"/>
      <c r="X14" s="4"/>
      <c r="Y14" s="79"/>
      <c r="Z14" s="79"/>
      <c r="AA14" s="79"/>
      <c r="AB14" s="3" t="s">
        <v>12</v>
      </c>
      <c r="AC14" s="79"/>
      <c r="AD14" s="79"/>
    </row>
    <row r="15" spans="1:32" x14ac:dyDescent="0.35">
      <c r="A15">
        <v>13</v>
      </c>
      <c r="B15" t="s">
        <v>26</v>
      </c>
      <c r="C15" t="s">
        <v>122</v>
      </c>
      <c r="D15">
        <f t="shared" si="1"/>
        <v>11</v>
      </c>
      <c r="E15">
        <f t="shared" si="2"/>
        <v>2</v>
      </c>
      <c r="F15">
        <f t="shared" si="3"/>
        <v>9</v>
      </c>
      <c r="G15" s="1">
        <f t="shared" si="4"/>
        <v>0.18181818181818182</v>
      </c>
      <c r="H15" s="1">
        <f t="shared" si="5"/>
        <v>0.57894736842105265</v>
      </c>
      <c r="I15" s="6">
        <f t="shared" si="6"/>
        <v>0.18181818181818182</v>
      </c>
      <c r="J15" s="80">
        <f t="shared" si="7"/>
        <v>0.10526315789473685</v>
      </c>
      <c r="L15" s="3" t="s">
        <v>11</v>
      </c>
      <c r="M15" s="3" t="s">
        <v>11</v>
      </c>
      <c r="N15" s="3" t="s">
        <v>11</v>
      </c>
      <c r="O15" s="3" t="s">
        <v>11</v>
      </c>
      <c r="P15" s="3" t="s">
        <v>12</v>
      </c>
      <c r="Q15" s="3" t="s">
        <v>11</v>
      </c>
      <c r="R15" s="3" t="s">
        <v>12</v>
      </c>
      <c r="S15" s="3" t="s">
        <v>11</v>
      </c>
      <c r="T15" s="3" t="s">
        <v>11</v>
      </c>
      <c r="U15" s="4"/>
      <c r="V15" s="4"/>
      <c r="W15" s="4"/>
      <c r="X15" s="3" t="s">
        <v>11</v>
      </c>
      <c r="Y15" s="79"/>
      <c r="Z15" s="79"/>
      <c r="AA15" s="79"/>
      <c r="AB15" s="79"/>
      <c r="AC15" s="3" t="s">
        <v>11</v>
      </c>
      <c r="AD15" s="79"/>
    </row>
    <row r="16" spans="1:32" x14ac:dyDescent="0.35">
      <c r="A16">
        <v>13</v>
      </c>
      <c r="B16" t="s">
        <v>88</v>
      </c>
      <c r="C16" t="s">
        <v>36</v>
      </c>
      <c r="D16">
        <f t="shared" si="1"/>
        <v>7</v>
      </c>
      <c r="E16">
        <f t="shared" si="2"/>
        <v>2</v>
      </c>
      <c r="F16">
        <f t="shared" si="3"/>
        <v>5</v>
      </c>
      <c r="G16" s="1">
        <f t="shared" si="4"/>
        <v>0.2857142857142857</v>
      </c>
      <c r="H16" s="1">
        <f t="shared" si="5"/>
        <v>0.36842105263157893</v>
      </c>
      <c r="I16" s="6">
        <f t="shared" si="6"/>
        <v>0.2857142857142857</v>
      </c>
      <c r="J16" s="80">
        <f t="shared" si="7"/>
        <v>0.10526315789473684</v>
      </c>
      <c r="L16" s="4"/>
      <c r="M16" s="4"/>
      <c r="N16" s="4"/>
      <c r="O16" s="4"/>
      <c r="P16" s="4"/>
      <c r="Q16" s="4"/>
      <c r="R16" s="4"/>
      <c r="S16" s="4"/>
      <c r="T16" s="3" t="s">
        <v>11</v>
      </c>
      <c r="U16" s="3" t="s">
        <v>11</v>
      </c>
      <c r="V16" s="3" t="s">
        <v>12</v>
      </c>
      <c r="W16" s="3" t="s">
        <v>11</v>
      </c>
      <c r="X16" s="3" t="s">
        <v>12</v>
      </c>
      <c r="Y16" s="3" t="s">
        <v>11</v>
      </c>
      <c r="Z16" s="3" t="s">
        <v>11</v>
      </c>
      <c r="AA16" s="79"/>
      <c r="AB16" s="79"/>
      <c r="AC16" s="79"/>
      <c r="AD16" s="79"/>
    </row>
    <row r="17" spans="1:30" x14ac:dyDescent="0.35">
      <c r="A17">
        <v>13</v>
      </c>
      <c r="B17" t="s">
        <v>99</v>
      </c>
      <c r="C17" t="s">
        <v>100</v>
      </c>
      <c r="D17">
        <f t="shared" si="1"/>
        <v>4</v>
      </c>
      <c r="E17">
        <f t="shared" si="2"/>
        <v>2</v>
      </c>
      <c r="F17">
        <f t="shared" si="3"/>
        <v>2</v>
      </c>
      <c r="G17" s="1">
        <f t="shared" si="4"/>
        <v>0.5</v>
      </c>
      <c r="H17" s="1">
        <f t="shared" si="5"/>
        <v>0.21052631578947367</v>
      </c>
      <c r="I17" s="6">
        <f t="shared" si="6"/>
        <v>0.5</v>
      </c>
      <c r="J17" s="80">
        <f t="shared" si="7"/>
        <v>0.10526315789473684</v>
      </c>
      <c r="L17" s="4"/>
      <c r="M17" s="4"/>
      <c r="N17" s="4"/>
      <c r="O17" s="3" t="s">
        <v>11</v>
      </c>
      <c r="P17" s="4"/>
      <c r="Q17" s="3" t="s">
        <v>12</v>
      </c>
      <c r="R17" s="4"/>
      <c r="S17" s="3" t="s">
        <v>11</v>
      </c>
      <c r="T17" s="4"/>
      <c r="U17" s="4"/>
      <c r="V17" s="4"/>
      <c r="W17" s="4"/>
      <c r="X17" s="4"/>
      <c r="Y17" s="79"/>
      <c r="Z17" s="3" t="s">
        <v>12</v>
      </c>
      <c r="AA17" s="79"/>
      <c r="AB17" s="79"/>
      <c r="AC17" s="79"/>
      <c r="AD17" s="79"/>
    </row>
    <row r="18" spans="1:30" x14ac:dyDescent="0.35">
      <c r="A18">
        <v>13</v>
      </c>
      <c r="B18" t="s">
        <v>194</v>
      </c>
      <c r="C18" t="s">
        <v>195</v>
      </c>
      <c r="D18">
        <f t="shared" si="1"/>
        <v>3</v>
      </c>
      <c r="E18">
        <f t="shared" si="2"/>
        <v>2</v>
      </c>
      <c r="F18">
        <f t="shared" si="3"/>
        <v>1</v>
      </c>
      <c r="G18" s="1">
        <f t="shared" si="4"/>
        <v>0.66666666666666663</v>
      </c>
      <c r="H18" s="1">
        <f t="shared" si="5"/>
        <v>0.15789473684210525</v>
      </c>
      <c r="I18" s="6">
        <f t="shared" si="6"/>
        <v>0.66666666666666663</v>
      </c>
      <c r="J18" s="8">
        <f t="shared" si="7"/>
        <v>0.10526315789473684</v>
      </c>
      <c r="L18" s="4"/>
      <c r="M18" s="4"/>
      <c r="N18" s="4"/>
      <c r="O18" s="4"/>
      <c r="P18" s="4"/>
      <c r="Q18" s="4"/>
      <c r="R18" s="3" t="s">
        <v>11</v>
      </c>
      <c r="S18" s="4"/>
      <c r="T18" s="4"/>
      <c r="U18" s="4"/>
      <c r="V18" s="4"/>
      <c r="W18" s="4"/>
      <c r="X18" s="4"/>
      <c r="Y18" s="3" t="s">
        <v>12</v>
      </c>
      <c r="Z18" s="3" t="s">
        <v>12</v>
      </c>
      <c r="AA18" s="79"/>
      <c r="AB18" s="79"/>
      <c r="AC18" s="79"/>
      <c r="AD18" s="79"/>
    </row>
    <row r="19" spans="1:30" x14ac:dyDescent="0.35">
      <c r="A19">
        <v>13</v>
      </c>
      <c r="B19" t="s">
        <v>38</v>
      </c>
      <c r="C19" t="s">
        <v>67</v>
      </c>
      <c r="D19">
        <f t="shared" si="1"/>
        <v>4</v>
      </c>
      <c r="E19">
        <f t="shared" si="2"/>
        <v>2</v>
      </c>
      <c r="F19">
        <f t="shared" si="3"/>
        <v>2</v>
      </c>
      <c r="G19" s="1">
        <f t="shared" si="4"/>
        <v>0.5</v>
      </c>
      <c r="H19" s="1">
        <f t="shared" si="5"/>
        <v>0.21052631578947367</v>
      </c>
      <c r="I19" s="6">
        <f t="shared" si="6"/>
        <v>0.5</v>
      </c>
      <c r="J19" s="8">
        <f t="shared" si="7"/>
        <v>0.10526315789473684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79"/>
      <c r="W19" s="4"/>
      <c r="X19" s="4"/>
      <c r="Y19" s="3" t="s">
        <v>11</v>
      </c>
      <c r="Z19" s="3" t="s">
        <v>12</v>
      </c>
      <c r="AA19" s="3" t="s">
        <v>12</v>
      </c>
      <c r="AB19" s="79"/>
      <c r="AC19" s="79"/>
      <c r="AD19" s="3" t="s">
        <v>11</v>
      </c>
    </row>
    <row r="20" spans="1:30" x14ac:dyDescent="0.35">
      <c r="A20">
        <v>13</v>
      </c>
      <c r="B20" t="s">
        <v>224</v>
      </c>
      <c r="C20" t="s">
        <v>218</v>
      </c>
      <c r="D20">
        <f t="shared" si="1"/>
        <v>2</v>
      </c>
      <c r="E20">
        <f t="shared" si="2"/>
        <v>2</v>
      </c>
      <c r="F20">
        <f t="shared" si="3"/>
        <v>0</v>
      </c>
      <c r="G20" s="1">
        <f t="shared" si="4"/>
        <v>1</v>
      </c>
      <c r="H20" s="1">
        <f t="shared" si="5"/>
        <v>0.10526315789473684</v>
      </c>
      <c r="I20" s="6">
        <f t="shared" si="6"/>
        <v>1</v>
      </c>
      <c r="J20" s="8">
        <f t="shared" si="7"/>
        <v>0.10526315789473684</v>
      </c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3" t="s">
        <v>12</v>
      </c>
      <c r="AB20" s="3" t="s">
        <v>12</v>
      </c>
      <c r="AC20" s="79"/>
      <c r="AD20" s="79"/>
    </row>
    <row r="21" spans="1:30" x14ac:dyDescent="0.35">
      <c r="A21">
        <v>19</v>
      </c>
      <c r="B21" t="s">
        <v>119</v>
      </c>
      <c r="C21" t="s">
        <v>13</v>
      </c>
      <c r="D21">
        <f t="shared" si="1"/>
        <v>3</v>
      </c>
      <c r="E21">
        <f t="shared" si="2"/>
        <v>1</v>
      </c>
      <c r="F21">
        <f t="shared" si="3"/>
        <v>2</v>
      </c>
      <c r="G21" s="1">
        <f t="shared" si="4"/>
        <v>0.33333333333333331</v>
      </c>
      <c r="H21" s="1">
        <f t="shared" si="5"/>
        <v>0.15789473684210525</v>
      </c>
      <c r="I21" s="6">
        <f t="shared" si="6"/>
        <v>0.33333333333333331</v>
      </c>
      <c r="J21" s="8">
        <f t="shared" si="7"/>
        <v>5.2631578947368418E-2</v>
      </c>
      <c r="L21" s="3" t="s">
        <v>11</v>
      </c>
      <c r="M21" s="4"/>
      <c r="N21" s="4"/>
      <c r="O21" s="3" t="s">
        <v>12</v>
      </c>
      <c r="P21" s="4"/>
      <c r="Q21" s="4"/>
      <c r="R21" s="4"/>
      <c r="S21" s="4"/>
      <c r="T21" s="4"/>
      <c r="U21" s="4"/>
      <c r="V21" s="4"/>
      <c r="W21" s="4"/>
      <c r="X21" s="4"/>
      <c r="Y21" s="79"/>
      <c r="Z21" s="79"/>
      <c r="AA21" s="79"/>
      <c r="AB21" s="3" t="s">
        <v>11</v>
      </c>
      <c r="AC21" s="79"/>
      <c r="AD21" s="79"/>
    </row>
    <row r="22" spans="1:30" x14ac:dyDescent="0.35">
      <c r="A22">
        <v>19</v>
      </c>
      <c r="B22" t="s">
        <v>89</v>
      </c>
      <c r="C22" t="s">
        <v>25</v>
      </c>
      <c r="D22">
        <f t="shared" si="1"/>
        <v>3</v>
      </c>
      <c r="E22">
        <f t="shared" si="2"/>
        <v>1</v>
      </c>
      <c r="F22">
        <f t="shared" si="3"/>
        <v>2</v>
      </c>
      <c r="G22" s="1">
        <f t="shared" si="4"/>
        <v>0.33333333333333331</v>
      </c>
      <c r="H22" s="1">
        <f t="shared" si="5"/>
        <v>0.15789473684210525</v>
      </c>
      <c r="I22" s="6">
        <f t="shared" si="6"/>
        <v>0.33333333333333331</v>
      </c>
      <c r="J22" s="8">
        <f t="shared" si="7"/>
        <v>5.2631578947368418E-2</v>
      </c>
      <c r="L22" s="4"/>
      <c r="M22" s="3" t="s">
        <v>12</v>
      </c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3" t="s">
        <v>11</v>
      </c>
      <c r="Z22" s="79"/>
      <c r="AA22" s="79"/>
      <c r="AB22" s="79"/>
      <c r="AC22" s="79"/>
      <c r="AD22" s="3" t="s">
        <v>11</v>
      </c>
    </row>
    <row r="23" spans="1:30" x14ac:dyDescent="0.35">
      <c r="A23">
        <v>19</v>
      </c>
      <c r="B23" t="s">
        <v>121</v>
      </c>
      <c r="C23" t="s">
        <v>10</v>
      </c>
      <c r="D23">
        <f t="shared" si="1"/>
        <v>4</v>
      </c>
      <c r="E23">
        <f t="shared" si="2"/>
        <v>1</v>
      </c>
      <c r="F23">
        <f t="shared" si="3"/>
        <v>3</v>
      </c>
      <c r="G23" s="1">
        <f t="shared" si="4"/>
        <v>0.25</v>
      </c>
      <c r="H23" s="1">
        <f t="shared" si="5"/>
        <v>0.21052631578947367</v>
      </c>
      <c r="I23" s="6">
        <f t="shared" si="6"/>
        <v>0.25</v>
      </c>
      <c r="J23" s="8">
        <f t="shared" si="7"/>
        <v>5.2631578947368418E-2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3" t="s">
        <v>11</v>
      </c>
      <c r="W23" s="4"/>
      <c r="X23" s="4"/>
      <c r="Y23" s="79"/>
      <c r="Z23" s="79"/>
      <c r="AA23" s="3" t="s">
        <v>11</v>
      </c>
      <c r="AB23" s="79"/>
      <c r="AC23" s="3" t="s">
        <v>12</v>
      </c>
      <c r="AD23" s="3" t="s">
        <v>11</v>
      </c>
    </row>
    <row r="24" spans="1:30" x14ac:dyDescent="0.35">
      <c r="A24">
        <v>19</v>
      </c>
      <c r="B24" t="s">
        <v>175</v>
      </c>
      <c r="C24" t="s">
        <v>125</v>
      </c>
      <c r="D24">
        <f t="shared" si="1"/>
        <v>1</v>
      </c>
      <c r="E24">
        <f t="shared" si="2"/>
        <v>1</v>
      </c>
      <c r="F24">
        <f t="shared" si="3"/>
        <v>0</v>
      </c>
      <c r="G24" s="1">
        <f t="shared" si="4"/>
        <v>1</v>
      </c>
      <c r="H24" s="1">
        <f t="shared" si="5"/>
        <v>5.2631578947368418E-2</v>
      </c>
      <c r="I24" s="6">
        <f t="shared" si="6"/>
        <v>1</v>
      </c>
      <c r="J24" s="8">
        <f t="shared" si="7"/>
        <v>5.2631578947368418E-2</v>
      </c>
      <c r="L24" s="3" t="s">
        <v>12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79"/>
      <c r="Z24" s="79"/>
      <c r="AA24" s="79"/>
      <c r="AB24" s="79"/>
      <c r="AC24" s="79"/>
      <c r="AD24" s="79"/>
    </row>
    <row r="25" spans="1:30" x14ac:dyDescent="0.35">
      <c r="A25">
        <v>19</v>
      </c>
      <c r="B25" t="s">
        <v>105</v>
      </c>
      <c r="C25" t="s">
        <v>106</v>
      </c>
      <c r="D25">
        <f t="shared" si="1"/>
        <v>2</v>
      </c>
      <c r="E25">
        <f t="shared" si="2"/>
        <v>1</v>
      </c>
      <c r="F25">
        <f t="shared" si="3"/>
        <v>1</v>
      </c>
      <c r="G25" s="1">
        <f t="shared" si="4"/>
        <v>0.5</v>
      </c>
      <c r="H25" s="1">
        <f t="shared" si="5"/>
        <v>0.10526315789473684</v>
      </c>
      <c r="I25" s="6">
        <f t="shared" si="6"/>
        <v>0.5</v>
      </c>
      <c r="J25" s="8">
        <f t="shared" si="7"/>
        <v>5.2631578947368418E-2</v>
      </c>
      <c r="L25" s="3" t="s">
        <v>12</v>
      </c>
      <c r="M25" s="4"/>
      <c r="N25" s="4"/>
      <c r="O25" s="4"/>
      <c r="P25" s="3" t="s">
        <v>11</v>
      </c>
      <c r="Q25" s="4"/>
      <c r="R25" s="4"/>
      <c r="S25" s="4"/>
      <c r="T25" s="4"/>
      <c r="U25" s="4"/>
      <c r="V25" s="4"/>
      <c r="W25" s="4"/>
      <c r="X25" s="4"/>
      <c r="Y25" s="79"/>
      <c r="Z25" s="79"/>
      <c r="AA25" s="79"/>
      <c r="AB25" s="79"/>
      <c r="AC25" s="79"/>
      <c r="AD25" s="79"/>
    </row>
    <row r="26" spans="1:30" x14ac:dyDescent="0.35">
      <c r="A26">
        <v>19</v>
      </c>
      <c r="B26" t="s">
        <v>101</v>
      </c>
      <c r="C26" t="s">
        <v>29</v>
      </c>
      <c r="D26">
        <f t="shared" si="1"/>
        <v>2</v>
      </c>
      <c r="E26">
        <f t="shared" si="2"/>
        <v>1</v>
      </c>
      <c r="F26">
        <f t="shared" si="3"/>
        <v>1</v>
      </c>
      <c r="G26" s="1">
        <f t="shared" si="4"/>
        <v>0.5</v>
      </c>
      <c r="H26" s="1">
        <f t="shared" si="5"/>
        <v>0.10526315789473684</v>
      </c>
      <c r="I26" s="6">
        <f t="shared" si="6"/>
        <v>0.5</v>
      </c>
      <c r="J26" s="8">
        <f t="shared" si="7"/>
        <v>5.2631578947368418E-2</v>
      </c>
      <c r="L26" s="4"/>
      <c r="M26" s="3" t="s">
        <v>12</v>
      </c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79"/>
      <c r="Z26" s="3" t="s">
        <v>11</v>
      </c>
      <c r="AA26" s="79"/>
      <c r="AB26" s="79"/>
      <c r="AC26" s="79"/>
      <c r="AD26" s="79"/>
    </row>
    <row r="27" spans="1:30" x14ac:dyDescent="0.35">
      <c r="A27">
        <v>19</v>
      </c>
      <c r="B27" t="s">
        <v>127</v>
      </c>
      <c r="C27" t="s">
        <v>9</v>
      </c>
      <c r="D27">
        <f t="shared" si="1"/>
        <v>1</v>
      </c>
      <c r="E27">
        <f t="shared" si="2"/>
        <v>1</v>
      </c>
      <c r="F27">
        <f t="shared" si="3"/>
        <v>0</v>
      </c>
      <c r="G27" s="1">
        <f t="shared" si="4"/>
        <v>1</v>
      </c>
      <c r="H27" s="1">
        <f t="shared" si="5"/>
        <v>5.2631578947368418E-2</v>
      </c>
      <c r="I27" s="6">
        <f t="shared" si="6"/>
        <v>1</v>
      </c>
      <c r="J27" s="8">
        <f t="shared" si="7"/>
        <v>5.2631578947368418E-2</v>
      </c>
      <c r="L27" s="4"/>
      <c r="M27" s="3" t="s">
        <v>12</v>
      </c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79"/>
      <c r="Z27" s="79"/>
      <c r="AA27" s="79"/>
      <c r="AB27" s="79"/>
      <c r="AC27" s="79"/>
      <c r="AD27" s="79"/>
    </row>
    <row r="28" spans="1:30" x14ac:dyDescent="0.35">
      <c r="A28">
        <v>19</v>
      </c>
      <c r="B28" t="s">
        <v>185</v>
      </c>
      <c r="C28" t="s">
        <v>186</v>
      </c>
      <c r="D28">
        <f t="shared" si="1"/>
        <v>1</v>
      </c>
      <c r="E28">
        <f t="shared" si="2"/>
        <v>1</v>
      </c>
      <c r="F28">
        <f t="shared" si="3"/>
        <v>0</v>
      </c>
      <c r="G28" s="1">
        <f t="shared" si="4"/>
        <v>1</v>
      </c>
      <c r="H28" s="1">
        <f t="shared" si="5"/>
        <v>5.2631578947368418E-2</v>
      </c>
      <c r="I28" s="6">
        <f t="shared" si="6"/>
        <v>1</v>
      </c>
      <c r="J28" s="8">
        <f t="shared" si="7"/>
        <v>5.2631578947368418E-2</v>
      </c>
      <c r="L28" s="4"/>
      <c r="M28" s="4"/>
      <c r="N28" s="4"/>
      <c r="O28" s="3" t="s">
        <v>12</v>
      </c>
      <c r="P28" s="4"/>
      <c r="Q28" s="4"/>
      <c r="R28" s="4"/>
      <c r="S28" s="4"/>
      <c r="T28" s="4"/>
      <c r="U28" s="4"/>
      <c r="V28" s="4"/>
      <c r="W28" s="4"/>
      <c r="X28" s="4"/>
      <c r="Y28" s="79"/>
      <c r="Z28" s="79"/>
      <c r="AA28" s="79"/>
      <c r="AB28" s="79"/>
      <c r="AC28" s="79"/>
      <c r="AD28" s="79"/>
    </row>
    <row r="29" spans="1:30" x14ac:dyDescent="0.35">
      <c r="A29">
        <v>19</v>
      </c>
      <c r="B29" t="s">
        <v>192</v>
      </c>
      <c r="C29" t="s">
        <v>193</v>
      </c>
      <c r="D29">
        <f t="shared" si="1"/>
        <v>1</v>
      </c>
      <c r="E29">
        <f t="shared" si="2"/>
        <v>1</v>
      </c>
      <c r="F29">
        <f t="shared" si="3"/>
        <v>0</v>
      </c>
      <c r="G29" s="1">
        <f t="shared" si="4"/>
        <v>1</v>
      </c>
      <c r="H29" s="1">
        <f t="shared" si="5"/>
        <v>5.2631578947368418E-2</v>
      </c>
      <c r="I29" s="6">
        <f t="shared" si="6"/>
        <v>1</v>
      </c>
      <c r="J29" s="8">
        <f t="shared" si="7"/>
        <v>5.2631578947368418E-2</v>
      </c>
      <c r="L29" s="4"/>
      <c r="M29" s="4"/>
      <c r="N29" s="4"/>
      <c r="O29" s="4"/>
      <c r="P29" s="4"/>
      <c r="Q29" s="4"/>
      <c r="R29" s="3" t="s">
        <v>12</v>
      </c>
      <c r="S29" s="4"/>
      <c r="T29" s="4"/>
      <c r="U29" s="4"/>
      <c r="V29" s="4"/>
      <c r="W29" s="4"/>
      <c r="X29" s="4"/>
      <c r="Y29" s="79"/>
      <c r="Z29" s="79"/>
      <c r="AA29" s="79"/>
      <c r="AB29" s="79"/>
      <c r="AC29" s="79"/>
      <c r="AD29" s="79"/>
    </row>
    <row r="30" spans="1:30" x14ac:dyDescent="0.35">
      <c r="A30">
        <v>19</v>
      </c>
      <c r="B30" t="s">
        <v>95</v>
      </c>
      <c r="C30" t="s">
        <v>4</v>
      </c>
      <c r="D30">
        <f t="shared" si="1"/>
        <v>1</v>
      </c>
      <c r="E30">
        <f t="shared" si="2"/>
        <v>1</v>
      </c>
      <c r="F30">
        <f t="shared" si="3"/>
        <v>0</v>
      </c>
      <c r="G30" s="1">
        <f t="shared" si="4"/>
        <v>1</v>
      </c>
      <c r="H30" s="1">
        <f t="shared" si="5"/>
        <v>5.2631578947368418E-2</v>
      </c>
      <c r="I30" s="6">
        <f t="shared" si="6"/>
        <v>1</v>
      </c>
      <c r="J30" s="8">
        <f t="shared" si="7"/>
        <v>5.2631578947368418E-2</v>
      </c>
      <c r="L30" s="4"/>
      <c r="M30" s="4"/>
      <c r="N30" s="4"/>
      <c r="O30" s="4"/>
      <c r="P30" s="4"/>
      <c r="Q30" s="4"/>
      <c r="R30" s="4"/>
      <c r="S30" s="4"/>
      <c r="T30" s="3" t="s">
        <v>12</v>
      </c>
      <c r="U30" s="4"/>
      <c r="V30" s="4"/>
      <c r="W30" s="4"/>
      <c r="X30" s="4"/>
      <c r="Y30" s="79"/>
      <c r="Z30" s="79"/>
      <c r="AA30" s="79"/>
      <c r="AB30" s="79"/>
      <c r="AC30" s="79"/>
      <c r="AD30" s="79"/>
    </row>
    <row r="31" spans="1:30" x14ac:dyDescent="0.35">
      <c r="A31">
        <v>19</v>
      </c>
      <c r="B31" t="s">
        <v>145</v>
      </c>
      <c r="C31" t="s">
        <v>146</v>
      </c>
      <c r="D31">
        <f t="shared" si="1"/>
        <v>1</v>
      </c>
      <c r="E31">
        <f t="shared" si="2"/>
        <v>1</v>
      </c>
      <c r="F31">
        <f t="shared" si="3"/>
        <v>0</v>
      </c>
      <c r="G31" s="1">
        <f t="shared" si="4"/>
        <v>1</v>
      </c>
      <c r="H31" s="1">
        <f t="shared" si="5"/>
        <v>5.2631578947368418E-2</v>
      </c>
      <c r="I31" s="6">
        <f t="shared" si="6"/>
        <v>1</v>
      </c>
      <c r="J31" s="8">
        <f t="shared" si="7"/>
        <v>5.2631578947368418E-2</v>
      </c>
      <c r="L31" s="4"/>
      <c r="M31" s="4"/>
      <c r="N31" s="4"/>
      <c r="O31" s="4"/>
      <c r="P31" s="4"/>
      <c r="Q31" s="4"/>
      <c r="R31" s="4"/>
      <c r="S31" s="4"/>
      <c r="T31" s="3" t="s">
        <v>12</v>
      </c>
      <c r="U31" s="4"/>
      <c r="V31" s="4"/>
      <c r="W31" s="4"/>
      <c r="X31" s="4"/>
      <c r="Y31" s="79"/>
      <c r="Z31" s="79"/>
      <c r="AA31" s="79"/>
      <c r="AB31" s="79"/>
      <c r="AC31" s="79"/>
      <c r="AD31" s="79"/>
    </row>
    <row r="32" spans="1:30" x14ac:dyDescent="0.35">
      <c r="A32">
        <v>19</v>
      </c>
      <c r="B32" t="s">
        <v>199</v>
      </c>
      <c r="C32" t="s">
        <v>200</v>
      </c>
      <c r="D32">
        <f t="shared" si="1"/>
        <v>2</v>
      </c>
      <c r="E32">
        <f t="shared" si="2"/>
        <v>1</v>
      </c>
      <c r="F32">
        <f t="shared" si="3"/>
        <v>1</v>
      </c>
      <c r="G32" s="1">
        <f t="shared" si="4"/>
        <v>0.5</v>
      </c>
      <c r="H32" s="1">
        <f t="shared" si="5"/>
        <v>0.10526315789473684</v>
      </c>
      <c r="I32" s="6">
        <f t="shared" si="6"/>
        <v>0.5</v>
      </c>
      <c r="J32" s="8">
        <f t="shared" si="7"/>
        <v>5.2631578947368418E-2</v>
      </c>
      <c r="L32" s="4"/>
      <c r="M32" s="4"/>
      <c r="N32" s="4"/>
      <c r="O32" s="4"/>
      <c r="P32" s="4"/>
      <c r="Q32" s="4"/>
      <c r="R32" s="4"/>
      <c r="S32" s="4"/>
      <c r="T32" s="3" t="s">
        <v>11</v>
      </c>
      <c r="U32" s="3" t="s">
        <v>12</v>
      </c>
      <c r="V32" s="4"/>
      <c r="W32" s="4"/>
      <c r="X32" s="4"/>
      <c r="Y32" s="79"/>
      <c r="Z32" s="79"/>
      <c r="AA32" s="79"/>
      <c r="AB32" s="79"/>
      <c r="AC32" s="79"/>
      <c r="AD32" s="79"/>
    </row>
    <row r="33" spans="1:30" x14ac:dyDescent="0.35">
      <c r="A33">
        <v>19</v>
      </c>
      <c r="B33" t="s">
        <v>212</v>
      </c>
      <c r="C33" t="s">
        <v>213</v>
      </c>
      <c r="D33">
        <f t="shared" si="1"/>
        <v>1</v>
      </c>
      <c r="E33">
        <f t="shared" si="2"/>
        <v>1</v>
      </c>
      <c r="F33">
        <f t="shared" si="3"/>
        <v>0</v>
      </c>
      <c r="G33" s="1">
        <f t="shared" si="4"/>
        <v>1</v>
      </c>
      <c r="H33" s="1">
        <f t="shared" si="5"/>
        <v>5.2631578947368418E-2</v>
      </c>
      <c r="I33" s="6">
        <f t="shared" si="6"/>
        <v>1</v>
      </c>
      <c r="J33" s="8">
        <f t="shared" si="7"/>
        <v>5.2631578947368418E-2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79"/>
      <c r="W33" s="4"/>
      <c r="X33" s="4"/>
      <c r="Y33" s="3" t="s">
        <v>12</v>
      </c>
      <c r="Z33" s="79"/>
      <c r="AA33" s="79"/>
      <c r="AB33" s="79"/>
      <c r="AC33" s="79"/>
      <c r="AD33" s="79"/>
    </row>
    <row r="34" spans="1:30" x14ac:dyDescent="0.35">
      <c r="A34">
        <v>19</v>
      </c>
      <c r="B34" t="s">
        <v>216</v>
      </c>
      <c r="C34" t="s">
        <v>217</v>
      </c>
      <c r="D34">
        <f t="shared" si="1"/>
        <v>2</v>
      </c>
      <c r="E34">
        <f t="shared" si="2"/>
        <v>1</v>
      </c>
      <c r="F34">
        <f t="shared" si="3"/>
        <v>1</v>
      </c>
      <c r="G34" s="1">
        <f t="shared" si="4"/>
        <v>0.5</v>
      </c>
      <c r="H34" s="1">
        <f t="shared" si="5"/>
        <v>0.10526315789473684</v>
      </c>
      <c r="I34" s="6">
        <f t="shared" si="6"/>
        <v>0.5</v>
      </c>
      <c r="J34" s="8">
        <f t="shared" si="7"/>
        <v>5.2631578947368418E-2</v>
      </c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3" t="s">
        <v>12</v>
      </c>
      <c r="AA34" s="3" t="s">
        <v>11</v>
      </c>
      <c r="AB34" s="79"/>
      <c r="AC34" s="79"/>
      <c r="AD34" s="79"/>
    </row>
    <row r="35" spans="1:30" x14ac:dyDescent="0.35">
      <c r="A35">
        <v>19</v>
      </c>
      <c r="B35" t="s">
        <v>135</v>
      </c>
      <c r="C35" t="s">
        <v>75</v>
      </c>
      <c r="D35">
        <f t="shared" si="1"/>
        <v>2</v>
      </c>
      <c r="E35">
        <f t="shared" si="2"/>
        <v>1</v>
      </c>
      <c r="F35">
        <f t="shared" si="3"/>
        <v>1</v>
      </c>
      <c r="G35" s="1">
        <f t="shared" si="4"/>
        <v>0.5</v>
      </c>
      <c r="H35" s="1">
        <f t="shared" si="5"/>
        <v>0.10526315789473684</v>
      </c>
      <c r="I35" s="6">
        <f t="shared" si="6"/>
        <v>0.5</v>
      </c>
      <c r="J35" s="8">
        <f t="shared" si="7"/>
        <v>5.2631578947368418E-2</v>
      </c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3" t="s">
        <v>12</v>
      </c>
      <c r="AB35" s="3" t="s">
        <v>11</v>
      </c>
      <c r="AC35" s="79"/>
      <c r="AD35" s="79"/>
    </row>
    <row r="36" spans="1:30" x14ac:dyDescent="0.35">
      <c r="A36">
        <v>19</v>
      </c>
      <c r="B36" t="s">
        <v>225</v>
      </c>
      <c r="C36" t="s">
        <v>226</v>
      </c>
      <c r="D36">
        <f t="shared" si="1"/>
        <v>1</v>
      </c>
      <c r="E36">
        <f t="shared" si="2"/>
        <v>1</v>
      </c>
      <c r="F36">
        <f t="shared" si="3"/>
        <v>0</v>
      </c>
      <c r="G36" s="1">
        <f t="shared" si="4"/>
        <v>1</v>
      </c>
      <c r="H36" s="1">
        <f t="shared" si="5"/>
        <v>5.2631578947368418E-2</v>
      </c>
      <c r="I36" s="6">
        <f t="shared" si="6"/>
        <v>1</v>
      </c>
      <c r="J36" s="8">
        <f t="shared" si="7"/>
        <v>5.2631578947368418E-2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79"/>
      <c r="W36" s="4"/>
      <c r="X36" s="4"/>
      <c r="Y36" s="79"/>
      <c r="Z36" s="79"/>
      <c r="AA36" s="79"/>
      <c r="AB36" s="3"/>
      <c r="AC36" s="79"/>
      <c r="AD36" s="3" t="s">
        <v>12</v>
      </c>
    </row>
    <row r="37" spans="1:30" x14ac:dyDescent="0.35">
      <c r="A37">
        <v>19</v>
      </c>
      <c r="B37" t="s">
        <v>32</v>
      </c>
      <c r="C37" t="s">
        <v>65</v>
      </c>
      <c r="D37">
        <f t="shared" si="1"/>
        <v>2</v>
      </c>
      <c r="E37">
        <f t="shared" si="2"/>
        <v>1</v>
      </c>
      <c r="F37">
        <f t="shared" si="3"/>
        <v>1</v>
      </c>
      <c r="G37" s="1">
        <f t="shared" si="4"/>
        <v>0.5</v>
      </c>
      <c r="H37" s="1">
        <f t="shared" si="5"/>
        <v>0.10526315789473684</v>
      </c>
      <c r="I37" s="6">
        <f t="shared" si="6"/>
        <v>0.5</v>
      </c>
      <c r="J37" s="8">
        <f t="shared" si="7"/>
        <v>5.2631578947368418E-2</v>
      </c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3" t="s">
        <v>11</v>
      </c>
      <c r="AB37" s="79"/>
      <c r="AC37" s="79"/>
      <c r="AD37" s="3" t="s">
        <v>12</v>
      </c>
    </row>
    <row r="38" spans="1:30" x14ac:dyDescent="0.35">
      <c r="A38">
        <v>36</v>
      </c>
      <c r="B38" t="s">
        <v>176</v>
      </c>
      <c r="C38" t="s">
        <v>177</v>
      </c>
      <c r="D38">
        <f t="shared" si="1"/>
        <v>1</v>
      </c>
      <c r="E38">
        <f t="shared" si="2"/>
        <v>0</v>
      </c>
      <c r="F38">
        <f t="shared" si="3"/>
        <v>1</v>
      </c>
      <c r="G38" s="1">
        <f t="shared" si="4"/>
        <v>0</v>
      </c>
      <c r="H38" s="1">
        <f t="shared" si="5"/>
        <v>5.2631578947368418E-2</v>
      </c>
      <c r="I38" s="6">
        <f t="shared" si="6"/>
        <v>0</v>
      </c>
      <c r="J38" s="8">
        <f t="shared" si="7"/>
        <v>0</v>
      </c>
      <c r="L38" s="3" t="s">
        <v>11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79"/>
      <c r="Z38" s="79"/>
      <c r="AA38" s="79"/>
      <c r="AB38" s="79"/>
      <c r="AC38" s="79"/>
      <c r="AD38" s="79"/>
    </row>
    <row r="39" spans="1:30" x14ac:dyDescent="0.35">
      <c r="A39">
        <v>36</v>
      </c>
      <c r="B39" t="s">
        <v>180</v>
      </c>
      <c r="C39" t="s">
        <v>181</v>
      </c>
      <c r="D39">
        <f t="shared" si="1"/>
        <v>1</v>
      </c>
      <c r="E39">
        <f t="shared" si="2"/>
        <v>0</v>
      </c>
      <c r="F39">
        <f t="shared" si="3"/>
        <v>1</v>
      </c>
      <c r="G39" s="1">
        <f t="shared" si="4"/>
        <v>0</v>
      </c>
      <c r="H39" s="1">
        <f t="shared" si="5"/>
        <v>5.2631578947368418E-2</v>
      </c>
      <c r="I39" s="6">
        <f t="shared" si="6"/>
        <v>0</v>
      </c>
      <c r="J39" s="8">
        <f t="shared" si="7"/>
        <v>0</v>
      </c>
      <c r="L39" s="4"/>
      <c r="M39" s="3" t="s">
        <v>11</v>
      </c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79"/>
      <c r="Z39" s="79"/>
      <c r="AA39" s="79"/>
      <c r="AB39" s="79"/>
      <c r="AC39" s="79"/>
      <c r="AD39" s="79"/>
    </row>
    <row r="40" spans="1:30" x14ac:dyDescent="0.35">
      <c r="A40">
        <v>36</v>
      </c>
      <c r="B40" t="s">
        <v>120</v>
      </c>
      <c r="C40" t="s">
        <v>64</v>
      </c>
      <c r="D40">
        <f t="shared" si="1"/>
        <v>1</v>
      </c>
      <c r="E40">
        <f t="shared" si="2"/>
        <v>0</v>
      </c>
      <c r="F40">
        <f t="shared" si="3"/>
        <v>1</v>
      </c>
      <c r="G40" s="1">
        <f t="shared" si="4"/>
        <v>0</v>
      </c>
      <c r="H40" s="1">
        <f t="shared" si="5"/>
        <v>5.2631578947368418E-2</v>
      </c>
      <c r="I40" s="6">
        <f t="shared" si="6"/>
        <v>0</v>
      </c>
      <c r="J40" s="8">
        <f t="shared" si="7"/>
        <v>0</v>
      </c>
      <c r="L40" s="4"/>
      <c r="M40" s="4"/>
      <c r="N40" s="3" t="s">
        <v>11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79"/>
      <c r="Z40" s="79"/>
      <c r="AA40" s="79"/>
      <c r="AB40" s="79"/>
      <c r="AC40" s="79"/>
      <c r="AD40" s="79"/>
    </row>
    <row r="41" spans="1:30" x14ac:dyDescent="0.35">
      <c r="A41">
        <v>36</v>
      </c>
      <c r="B41" t="s">
        <v>182</v>
      </c>
      <c r="C41" t="s">
        <v>183</v>
      </c>
      <c r="D41">
        <f t="shared" si="1"/>
        <v>1</v>
      </c>
      <c r="E41">
        <f t="shared" si="2"/>
        <v>0</v>
      </c>
      <c r="F41">
        <f t="shared" si="3"/>
        <v>1</v>
      </c>
      <c r="G41" s="1">
        <f t="shared" si="4"/>
        <v>0</v>
      </c>
      <c r="H41" s="1">
        <f t="shared" si="5"/>
        <v>5.2631578947368418E-2</v>
      </c>
      <c r="I41" s="6">
        <f t="shared" si="6"/>
        <v>0</v>
      </c>
      <c r="J41" s="8">
        <f t="shared" si="7"/>
        <v>0</v>
      </c>
      <c r="L41" s="4"/>
      <c r="M41" s="4"/>
      <c r="N41" s="3" t="s">
        <v>11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79"/>
      <c r="Z41" s="79"/>
      <c r="AA41" s="79"/>
      <c r="AB41" s="79"/>
      <c r="AC41" s="79"/>
      <c r="AD41" s="79"/>
    </row>
    <row r="42" spans="1:30" x14ac:dyDescent="0.35">
      <c r="A42">
        <v>36</v>
      </c>
      <c r="B42" t="s">
        <v>31</v>
      </c>
      <c r="C42" t="s">
        <v>31</v>
      </c>
      <c r="D42">
        <f t="shared" si="1"/>
        <v>1</v>
      </c>
      <c r="E42">
        <f t="shared" si="2"/>
        <v>0</v>
      </c>
      <c r="F42">
        <f t="shared" si="3"/>
        <v>1</v>
      </c>
      <c r="G42" s="1">
        <f t="shared" si="4"/>
        <v>0</v>
      </c>
      <c r="H42" s="1">
        <f t="shared" si="5"/>
        <v>5.2631578947368418E-2</v>
      </c>
      <c r="I42" s="6">
        <f t="shared" si="6"/>
        <v>0</v>
      </c>
      <c r="J42" s="8">
        <f t="shared" si="7"/>
        <v>0</v>
      </c>
      <c r="L42" s="4"/>
      <c r="M42" s="4"/>
      <c r="N42" s="4"/>
      <c r="O42" s="4"/>
      <c r="P42" s="3" t="s">
        <v>11</v>
      </c>
      <c r="Q42" s="4"/>
      <c r="R42" s="4"/>
      <c r="S42" s="4"/>
      <c r="T42" s="4"/>
      <c r="U42" s="4"/>
      <c r="V42" s="4"/>
      <c r="W42" s="4"/>
      <c r="X42" s="4"/>
      <c r="Y42" s="79"/>
      <c r="Z42" s="79"/>
      <c r="AA42" s="79"/>
      <c r="AB42" s="79"/>
      <c r="AC42" s="79"/>
      <c r="AD42" s="79"/>
    </row>
    <row r="43" spans="1:30" x14ac:dyDescent="0.35">
      <c r="A43">
        <v>36</v>
      </c>
      <c r="B43" t="s">
        <v>188</v>
      </c>
      <c r="C43" t="s">
        <v>189</v>
      </c>
      <c r="D43">
        <f t="shared" si="1"/>
        <v>1</v>
      </c>
      <c r="E43">
        <f t="shared" si="2"/>
        <v>0</v>
      </c>
      <c r="F43">
        <f t="shared" si="3"/>
        <v>1</v>
      </c>
      <c r="G43" s="1">
        <f t="shared" si="4"/>
        <v>0</v>
      </c>
      <c r="H43" s="1">
        <f t="shared" si="5"/>
        <v>5.2631578947368418E-2</v>
      </c>
      <c r="I43" s="6">
        <f t="shared" si="6"/>
        <v>0</v>
      </c>
      <c r="J43" s="8">
        <f t="shared" si="7"/>
        <v>0</v>
      </c>
      <c r="L43" s="4"/>
      <c r="M43" s="4"/>
      <c r="N43" s="4"/>
      <c r="O43" s="4"/>
      <c r="P43" s="3" t="s">
        <v>11</v>
      </c>
      <c r="Q43" s="4"/>
      <c r="R43" s="4"/>
      <c r="S43" s="4"/>
      <c r="T43" s="4"/>
      <c r="U43" s="4"/>
      <c r="V43" s="4"/>
      <c r="W43" s="4"/>
      <c r="X43" s="4"/>
      <c r="Y43" s="79"/>
      <c r="Z43" s="79"/>
      <c r="AA43" s="79"/>
      <c r="AB43" s="79"/>
      <c r="AC43" s="79"/>
      <c r="AD43" s="79"/>
    </row>
    <row r="44" spans="1:30" x14ac:dyDescent="0.35">
      <c r="A44">
        <v>36</v>
      </c>
      <c r="B44" t="s">
        <v>190</v>
      </c>
      <c r="C44" t="s">
        <v>191</v>
      </c>
      <c r="D44">
        <f t="shared" si="1"/>
        <v>3</v>
      </c>
      <c r="E44">
        <f t="shared" si="2"/>
        <v>0</v>
      </c>
      <c r="F44">
        <f t="shared" si="3"/>
        <v>3</v>
      </c>
      <c r="G44" s="1">
        <f t="shared" si="4"/>
        <v>0</v>
      </c>
      <c r="H44" s="1">
        <f t="shared" si="5"/>
        <v>0.15789473684210525</v>
      </c>
      <c r="I44" s="6">
        <f t="shared" si="6"/>
        <v>0</v>
      </c>
      <c r="J44" s="8">
        <f t="shared" si="7"/>
        <v>0</v>
      </c>
      <c r="L44" s="4"/>
      <c r="M44" s="4"/>
      <c r="N44" s="4"/>
      <c r="O44" s="4"/>
      <c r="P44" s="4"/>
      <c r="Q44" s="4"/>
      <c r="R44" s="3" t="s">
        <v>11</v>
      </c>
      <c r="S44" s="4"/>
      <c r="T44" s="4"/>
      <c r="U44" s="3" t="s">
        <v>11</v>
      </c>
      <c r="V44" s="4"/>
      <c r="W44" s="4"/>
      <c r="X44" s="4"/>
      <c r="Y44" s="79"/>
      <c r="Z44" s="79"/>
      <c r="AA44" s="3" t="s">
        <v>11</v>
      </c>
      <c r="AB44" s="79"/>
      <c r="AC44" s="79"/>
      <c r="AD44" s="79"/>
    </row>
    <row r="45" spans="1:30" x14ac:dyDescent="0.35">
      <c r="A45">
        <v>36</v>
      </c>
      <c r="B45" t="s">
        <v>203</v>
      </c>
      <c r="C45" t="s">
        <v>204</v>
      </c>
      <c r="D45">
        <f t="shared" si="1"/>
        <v>1</v>
      </c>
      <c r="E45">
        <f t="shared" si="2"/>
        <v>0</v>
      </c>
      <c r="F45">
        <f t="shared" si="3"/>
        <v>1</v>
      </c>
      <c r="G45" s="1">
        <f t="shared" si="4"/>
        <v>0</v>
      </c>
      <c r="H45" s="1">
        <f t="shared" si="5"/>
        <v>5.2631578947368418E-2</v>
      </c>
      <c r="I45" s="6">
        <f t="shared" si="6"/>
        <v>0</v>
      </c>
      <c r="J45" s="8">
        <f t="shared" si="7"/>
        <v>0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3" t="s">
        <v>11</v>
      </c>
      <c r="X45" s="4"/>
      <c r="Y45" s="79"/>
      <c r="Z45" s="79"/>
      <c r="AA45" s="79"/>
      <c r="AB45" s="79"/>
      <c r="AC45" s="79"/>
      <c r="AD45" s="79"/>
    </row>
    <row r="46" spans="1:30" x14ac:dyDescent="0.35">
      <c r="A46">
        <v>36</v>
      </c>
      <c r="B46" t="s">
        <v>205</v>
      </c>
      <c r="C46" t="s">
        <v>206</v>
      </c>
      <c r="D46">
        <f t="shared" si="1"/>
        <v>1</v>
      </c>
      <c r="E46">
        <f t="shared" si="2"/>
        <v>0</v>
      </c>
      <c r="F46">
        <f t="shared" si="3"/>
        <v>1</v>
      </c>
      <c r="G46" s="1">
        <f t="shared" si="4"/>
        <v>0</v>
      </c>
      <c r="H46" s="1">
        <f t="shared" si="5"/>
        <v>5.2631578947368418E-2</v>
      </c>
      <c r="I46" s="6">
        <f t="shared" si="6"/>
        <v>0</v>
      </c>
      <c r="J46" s="8">
        <f t="shared" si="7"/>
        <v>0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3" t="s">
        <v>11</v>
      </c>
      <c r="X46" s="4"/>
      <c r="Y46" s="79"/>
      <c r="Z46" s="79"/>
      <c r="AA46" s="79"/>
      <c r="AB46" s="79"/>
      <c r="AC46" s="79"/>
      <c r="AD46" s="79"/>
    </row>
    <row r="47" spans="1:30" x14ac:dyDescent="0.35">
      <c r="A47">
        <v>36</v>
      </c>
      <c r="B47" t="s">
        <v>214</v>
      </c>
      <c r="C47" t="s">
        <v>215</v>
      </c>
      <c r="D47">
        <f t="shared" si="1"/>
        <v>1</v>
      </c>
      <c r="E47">
        <f t="shared" si="2"/>
        <v>0</v>
      </c>
      <c r="F47">
        <f t="shared" si="3"/>
        <v>1</v>
      </c>
      <c r="G47" s="1">
        <f t="shared" si="4"/>
        <v>0</v>
      </c>
      <c r="H47" s="1">
        <f t="shared" si="5"/>
        <v>5.2631578947368418E-2</v>
      </c>
      <c r="I47" s="6">
        <f t="shared" si="6"/>
        <v>0</v>
      </c>
      <c r="J47" s="8">
        <f t="shared" si="7"/>
        <v>0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79"/>
      <c r="W47" s="4"/>
      <c r="X47" s="4"/>
      <c r="Y47" s="3" t="s">
        <v>11</v>
      </c>
      <c r="Z47" s="79"/>
      <c r="AA47" s="79"/>
      <c r="AB47" s="79"/>
      <c r="AC47" s="79"/>
      <c r="AD47" s="79"/>
    </row>
    <row r="48" spans="1:30" x14ac:dyDescent="0.35">
      <c r="A48">
        <v>36</v>
      </c>
      <c r="B48" t="s">
        <v>207</v>
      </c>
      <c r="C48" t="s">
        <v>208</v>
      </c>
      <c r="D48">
        <f t="shared" si="1"/>
        <v>1</v>
      </c>
      <c r="E48">
        <f t="shared" si="2"/>
        <v>0</v>
      </c>
      <c r="F48">
        <f t="shared" si="3"/>
        <v>1</v>
      </c>
      <c r="G48" s="1">
        <f t="shared" si="4"/>
        <v>0</v>
      </c>
      <c r="H48" s="1">
        <f t="shared" si="5"/>
        <v>5.2631578947368418E-2</v>
      </c>
      <c r="I48" s="6">
        <f t="shared" si="6"/>
        <v>0</v>
      </c>
      <c r="J48" s="8">
        <f t="shared" si="7"/>
        <v>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3" t="s">
        <v>11</v>
      </c>
      <c r="W48" s="4"/>
      <c r="X48" s="4"/>
      <c r="Y48" s="79"/>
      <c r="Z48" s="79"/>
      <c r="AA48" s="79"/>
      <c r="AB48" s="79"/>
      <c r="AC48" s="79"/>
      <c r="AD48" s="79"/>
    </row>
    <row r="49" spans="1:30" x14ac:dyDescent="0.35">
      <c r="A49">
        <v>36</v>
      </c>
      <c r="B49" t="s">
        <v>219</v>
      </c>
      <c r="C49" t="s">
        <v>219</v>
      </c>
      <c r="D49">
        <f t="shared" si="1"/>
        <v>1</v>
      </c>
      <c r="E49">
        <f t="shared" si="2"/>
        <v>0</v>
      </c>
      <c r="F49">
        <f t="shared" si="3"/>
        <v>1</v>
      </c>
      <c r="G49" s="1">
        <f t="shared" si="4"/>
        <v>0</v>
      </c>
      <c r="H49" s="1">
        <f t="shared" si="5"/>
        <v>5.2631578947368418E-2</v>
      </c>
      <c r="I49" s="6">
        <f t="shared" si="6"/>
        <v>0</v>
      </c>
      <c r="J49" s="8">
        <f t="shared" si="7"/>
        <v>0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79"/>
      <c r="W49" s="4"/>
      <c r="X49" s="4"/>
      <c r="Y49" s="79"/>
      <c r="Z49" s="79"/>
      <c r="AA49" s="79"/>
      <c r="AB49" s="79"/>
      <c r="AC49" s="3" t="s">
        <v>11</v>
      </c>
      <c r="AD49" s="79"/>
    </row>
    <row r="50" spans="1:30" x14ac:dyDescent="0.35">
      <c r="A50">
        <v>36</v>
      </c>
      <c r="B50" t="s">
        <v>222</v>
      </c>
      <c r="C50" t="s">
        <v>223</v>
      </c>
      <c r="D50">
        <f t="shared" si="1"/>
        <v>1</v>
      </c>
      <c r="E50">
        <f t="shared" si="2"/>
        <v>0</v>
      </c>
      <c r="F50">
        <f t="shared" si="3"/>
        <v>1</v>
      </c>
      <c r="G50" s="1">
        <f t="shared" si="4"/>
        <v>0</v>
      </c>
      <c r="H50" s="1">
        <f t="shared" si="5"/>
        <v>5.2631578947368418E-2</v>
      </c>
      <c r="I50" s="6">
        <f t="shared" si="6"/>
        <v>0</v>
      </c>
      <c r="J50" s="8">
        <f t="shared" si="7"/>
        <v>0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79"/>
      <c r="W50" s="4"/>
      <c r="X50" s="4"/>
      <c r="Y50" s="79"/>
      <c r="Z50" s="79"/>
      <c r="AA50" s="79"/>
      <c r="AB50" s="3" t="s">
        <v>11</v>
      </c>
      <c r="AC50" s="79"/>
      <c r="AD50" s="79"/>
    </row>
    <row r="51" spans="1:30" x14ac:dyDescent="0.35">
      <c r="D51">
        <f>SUM(D3:D50)</f>
        <v>190</v>
      </c>
      <c r="E51">
        <f>SUM(E3:E50)</f>
        <v>95</v>
      </c>
      <c r="F51">
        <f>SUM(F3:F50)</f>
        <v>95</v>
      </c>
    </row>
    <row r="52" spans="1:30" x14ac:dyDescent="0.35">
      <c r="B52" t="s">
        <v>18</v>
      </c>
      <c r="D52">
        <f>D51/10</f>
        <v>19</v>
      </c>
    </row>
    <row r="53" spans="1:30" ht="15" thickBot="1" x14ac:dyDescent="0.4"/>
    <row r="54" spans="1:30" x14ac:dyDescent="0.35">
      <c r="B54" s="169" t="s">
        <v>19</v>
      </c>
      <c r="C54" s="170"/>
      <c r="D54" s="175"/>
      <c r="G54" t="str" cm="1">
        <f t="array" ref="G54:Q54">TRANSPOSE(F55:F65)</f>
        <v>Capela</v>
      </c>
      <c r="H54" t="str">
        <v>Quim</v>
      </c>
      <c r="I54" t="str">
        <v>Vieira</v>
      </c>
      <c r="J54" t="str">
        <v>Gui Moura</v>
      </c>
      <c r="K54" t="str">
        <v>Campos</v>
      </c>
      <c r="L54" t="str">
        <v>Renato</v>
      </c>
      <c r="M54" t="str">
        <v>Alex</v>
      </c>
      <c r="N54" t="str">
        <v>Rodri</v>
      </c>
      <c r="O54" t="str">
        <v>Rosa</v>
      </c>
      <c r="P54" t="str">
        <v>Rui Vaz</v>
      </c>
      <c r="Q54" t="str">
        <v>Simão</v>
      </c>
      <c r="S54" s="17">
        <v>45722</v>
      </c>
      <c r="T54" s="179" t="s">
        <v>178</v>
      </c>
      <c r="U54" s="180"/>
      <c r="V54" s="181"/>
      <c r="X54" s="169" t="s">
        <v>15</v>
      </c>
      <c r="Y54" s="170"/>
      <c r="Z54" s="175"/>
      <c r="AA54" s="164" t="s">
        <v>230</v>
      </c>
      <c r="AB54" s="165"/>
      <c r="AC54" s="42">
        <v>4</v>
      </c>
    </row>
    <row r="55" spans="1:30" x14ac:dyDescent="0.35">
      <c r="B55" s="5">
        <v>1</v>
      </c>
      <c r="C55" s="166">
        <f t="shared" ref="C55:C62" si="8">B55/$D$52</f>
        <v>5.2631578947368418E-2</v>
      </c>
      <c r="D55" s="167"/>
      <c r="F55" t="s">
        <v>8</v>
      </c>
      <c r="G55" s="16"/>
      <c r="H55" s="15" t="s">
        <v>220</v>
      </c>
      <c r="I55" s="15" t="s">
        <v>221</v>
      </c>
      <c r="J55" s="15"/>
      <c r="K55" s="15"/>
      <c r="L55" s="15"/>
      <c r="M55" s="15"/>
      <c r="N55" s="15"/>
      <c r="O55" s="15">
        <v>45782</v>
      </c>
      <c r="P55" s="15"/>
      <c r="Q55" s="15"/>
      <c r="S55" s="18">
        <v>45729</v>
      </c>
      <c r="T55" s="176" t="s">
        <v>42</v>
      </c>
      <c r="U55" s="177"/>
      <c r="V55" s="178"/>
      <c r="X55" s="169" t="s">
        <v>14</v>
      </c>
      <c r="Y55" s="170"/>
      <c r="Z55" s="175"/>
      <c r="AA55" s="164" t="s">
        <v>7</v>
      </c>
      <c r="AB55" s="165"/>
      <c r="AC55" s="42">
        <v>4</v>
      </c>
    </row>
    <row r="56" spans="1:30" x14ac:dyDescent="0.35">
      <c r="B56" s="5">
        <v>2</v>
      </c>
      <c r="C56" s="166">
        <f t="shared" si="8"/>
        <v>0.10526315789473684</v>
      </c>
      <c r="D56" s="167"/>
      <c r="F56" t="s">
        <v>5</v>
      </c>
      <c r="G56" s="15" t="s">
        <v>220</v>
      </c>
      <c r="H56" s="16"/>
      <c r="I56" s="15"/>
      <c r="J56" s="15" t="s">
        <v>210</v>
      </c>
      <c r="K56" s="15"/>
      <c r="L56" s="15"/>
      <c r="M56" s="15"/>
      <c r="N56" s="15"/>
      <c r="O56" s="15"/>
      <c r="P56" s="15"/>
      <c r="Q56" s="15"/>
      <c r="S56" s="18">
        <v>45733</v>
      </c>
      <c r="T56" s="169" t="s">
        <v>184</v>
      </c>
      <c r="U56" s="170"/>
      <c r="V56" s="171"/>
      <c r="X56" s="169" t="s">
        <v>16</v>
      </c>
      <c r="Y56" s="170"/>
      <c r="Z56" s="175"/>
      <c r="AA56" s="164" t="s">
        <v>122</v>
      </c>
      <c r="AB56" s="165"/>
      <c r="AC56" s="32">
        <v>4</v>
      </c>
    </row>
    <row r="57" spans="1:30" x14ac:dyDescent="0.35">
      <c r="B57" s="5">
        <v>3</v>
      </c>
      <c r="C57" s="166">
        <f t="shared" si="8"/>
        <v>0.15789473684210525</v>
      </c>
      <c r="D57" s="167"/>
      <c r="F57" t="s">
        <v>7</v>
      </c>
      <c r="G57" s="15" t="s">
        <v>221</v>
      </c>
      <c r="H57" s="15"/>
      <c r="I57" s="16"/>
      <c r="J57" s="15"/>
      <c r="K57" s="15"/>
      <c r="L57" s="15"/>
      <c r="M57" s="15"/>
      <c r="N57" s="15"/>
      <c r="O57" s="15"/>
      <c r="P57" s="15"/>
      <c r="Q57" s="15"/>
      <c r="S57" s="18">
        <v>45740</v>
      </c>
      <c r="T57" s="169" t="s">
        <v>187</v>
      </c>
      <c r="U57" s="170"/>
      <c r="V57" s="171"/>
      <c r="X57" s="169" t="s">
        <v>24</v>
      </c>
      <c r="Y57" s="170"/>
      <c r="Z57" s="175"/>
      <c r="AA57" s="164" t="s">
        <v>122</v>
      </c>
      <c r="AB57" s="165"/>
      <c r="AC57" s="42">
        <v>4</v>
      </c>
    </row>
    <row r="58" spans="1:30" x14ac:dyDescent="0.35">
      <c r="B58" s="5">
        <v>4</v>
      </c>
      <c r="C58" s="166">
        <f t="shared" si="8"/>
        <v>0.21052631578947367</v>
      </c>
      <c r="D58" s="167"/>
      <c r="F58" t="s">
        <v>122</v>
      </c>
      <c r="G58" s="15"/>
      <c r="H58" s="15" t="s">
        <v>210</v>
      </c>
      <c r="I58" s="15"/>
      <c r="J58" s="16"/>
      <c r="K58" s="15"/>
      <c r="L58" s="15"/>
      <c r="M58" s="15"/>
      <c r="N58" s="15"/>
      <c r="O58" s="15"/>
      <c r="P58" s="15"/>
      <c r="Q58" s="15"/>
      <c r="S58" s="18">
        <v>45747</v>
      </c>
      <c r="T58" s="169" t="s">
        <v>196</v>
      </c>
      <c r="U58" s="170"/>
      <c r="V58" s="171"/>
    </row>
    <row r="59" spans="1:30" ht="15" thickBot="1" x14ac:dyDescent="0.4">
      <c r="B59" s="5">
        <v>5</v>
      </c>
      <c r="C59" s="166">
        <f t="shared" si="8"/>
        <v>0.26315789473684209</v>
      </c>
      <c r="D59" s="167"/>
      <c r="F59" t="s">
        <v>6</v>
      </c>
      <c r="G59" s="15"/>
      <c r="H59" s="15"/>
      <c r="I59" s="15"/>
      <c r="J59" s="15"/>
      <c r="K59" s="16"/>
      <c r="L59" s="15">
        <v>45768</v>
      </c>
      <c r="M59" s="15">
        <v>45740</v>
      </c>
      <c r="N59" s="15"/>
      <c r="O59" s="15"/>
      <c r="P59" s="15"/>
      <c r="Q59" s="15"/>
      <c r="S59" s="18">
        <v>45754</v>
      </c>
      <c r="T59" s="169" t="s">
        <v>196</v>
      </c>
      <c r="U59" s="170"/>
      <c r="V59" s="171"/>
      <c r="X59" s="152" t="s">
        <v>60</v>
      </c>
      <c r="Y59" s="152"/>
      <c r="Z59" s="152"/>
      <c r="AA59" s="152"/>
      <c r="AB59" s="152"/>
      <c r="AC59" s="152"/>
    </row>
    <row r="60" spans="1:30" x14ac:dyDescent="0.35">
      <c r="B60" s="5">
        <v>6</v>
      </c>
      <c r="C60" s="166">
        <f t="shared" si="8"/>
        <v>0.31578947368421051</v>
      </c>
      <c r="D60" s="167"/>
      <c r="F60" t="s">
        <v>133</v>
      </c>
      <c r="G60" s="15"/>
      <c r="H60" s="15"/>
      <c r="I60" s="15"/>
      <c r="J60" s="15"/>
      <c r="K60" s="15">
        <v>45768</v>
      </c>
      <c r="L60" s="16"/>
      <c r="M60" s="15"/>
      <c r="N60" s="15"/>
      <c r="O60" s="15"/>
      <c r="P60" s="15"/>
      <c r="Q60" s="15"/>
      <c r="S60" s="18">
        <v>45761</v>
      </c>
      <c r="T60" s="169" t="s">
        <v>197</v>
      </c>
      <c r="U60" s="170"/>
      <c r="V60" s="171"/>
      <c r="X60" s="19" t="s">
        <v>61</v>
      </c>
      <c r="Y60" s="20" t="s">
        <v>63</v>
      </c>
      <c r="Z60" s="21" t="s">
        <v>1</v>
      </c>
      <c r="AA60" s="26" t="s">
        <v>62</v>
      </c>
      <c r="AB60" s="26" t="s">
        <v>63</v>
      </c>
      <c r="AC60" s="27" t="s">
        <v>1</v>
      </c>
    </row>
    <row r="61" spans="1:30" x14ac:dyDescent="0.35">
      <c r="B61" s="5">
        <v>7</v>
      </c>
      <c r="C61" s="166">
        <f t="shared" si="8"/>
        <v>0.36842105263157893</v>
      </c>
      <c r="D61" s="167"/>
      <c r="F61" t="s">
        <v>98</v>
      </c>
      <c r="G61" s="15"/>
      <c r="H61" s="15"/>
      <c r="I61" s="15"/>
      <c r="J61" s="15"/>
      <c r="K61" s="15">
        <v>45740</v>
      </c>
      <c r="L61" s="15"/>
      <c r="M61" s="16"/>
      <c r="N61" s="15"/>
      <c r="O61" s="15"/>
      <c r="P61" s="15"/>
      <c r="Q61" s="15"/>
      <c r="S61" s="18">
        <v>45768</v>
      </c>
      <c r="T61" s="169" t="s">
        <v>198</v>
      </c>
      <c r="U61" s="170"/>
      <c r="V61" s="171"/>
      <c r="X61" s="22">
        <v>1</v>
      </c>
      <c r="Y61" t="s">
        <v>5</v>
      </c>
      <c r="Z61" s="23">
        <f t="shared" ref="Z61:Z70" si="9">+VLOOKUP(Y61,$C$2:$D$50,2,0)</f>
        <v>19</v>
      </c>
      <c r="AA61">
        <v>11</v>
      </c>
      <c r="AB61" t="s">
        <v>170</v>
      </c>
      <c r="AC61" s="29">
        <f t="shared" ref="AC61:AC98" si="10">+VLOOKUP(AB61,$C$2:$D$50,2,0)</f>
        <v>6</v>
      </c>
    </row>
    <row r="62" spans="1:30" x14ac:dyDescent="0.35">
      <c r="B62" s="5">
        <v>8</v>
      </c>
      <c r="C62" s="166">
        <f t="shared" si="8"/>
        <v>0.42105263157894735</v>
      </c>
      <c r="D62" s="167"/>
      <c r="F62" t="s">
        <v>117</v>
      </c>
      <c r="G62" s="15"/>
      <c r="H62" s="15"/>
      <c r="I62" s="15"/>
      <c r="J62" s="15"/>
      <c r="K62" s="15"/>
      <c r="L62" s="15"/>
      <c r="M62" s="15"/>
      <c r="N62" s="16"/>
      <c r="O62" s="15"/>
      <c r="P62" s="15"/>
      <c r="Q62" s="15"/>
      <c r="S62" s="18">
        <v>45776</v>
      </c>
      <c r="T62" s="169" t="s">
        <v>201</v>
      </c>
      <c r="U62" s="170"/>
      <c r="V62" s="171"/>
      <c r="X62" s="22">
        <v>2</v>
      </c>
      <c r="Y62" t="s">
        <v>8</v>
      </c>
      <c r="Z62" s="23">
        <f t="shared" si="9"/>
        <v>18</v>
      </c>
      <c r="AA62">
        <v>11</v>
      </c>
      <c r="AB62" t="s">
        <v>159</v>
      </c>
      <c r="AC62" s="29">
        <f t="shared" si="10"/>
        <v>6</v>
      </c>
    </row>
    <row r="63" spans="1:30" x14ac:dyDescent="0.35">
      <c r="B63" s="5">
        <v>9</v>
      </c>
      <c r="C63" s="166">
        <f t="shared" ref="C63" si="11">B63/$D$52</f>
        <v>0.47368421052631576</v>
      </c>
      <c r="D63" s="167"/>
      <c r="F63" t="s">
        <v>170</v>
      </c>
      <c r="G63" s="15">
        <v>45782</v>
      </c>
      <c r="H63" s="15"/>
      <c r="I63" s="15"/>
      <c r="J63" s="15"/>
      <c r="K63" s="15"/>
      <c r="L63" s="15"/>
      <c r="M63" s="15"/>
      <c r="N63" s="15"/>
      <c r="O63" s="16"/>
      <c r="P63" s="15"/>
      <c r="Q63" s="15"/>
      <c r="S63" s="18">
        <v>45782</v>
      </c>
      <c r="T63" s="169" t="s">
        <v>202</v>
      </c>
      <c r="U63" s="170"/>
      <c r="V63" s="171"/>
      <c r="X63" s="22">
        <v>3</v>
      </c>
      <c r="Y63" t="s">
        <v>133</v>
      </c>
      <c r="Z63" s="23">
        <f t="shared" si="9"/>
        <v>12</v>
      </c>
      <c r="AA63">
        <v>13</v>
      </c>
      <c r="AB63" t="s">
        <v>150</v>
      </c>
      <c r="AC63" s="29">
        <f t="shared" si="10"/>
        <v>4</v>
      </c>
    </row>
    <row r="64" spans="1:30" x14ac:dyDescent="0.35">
      <c r="B64" s="5">
        <v>10</v>
      </c>
      <c r="C64" s="166">
        <f t="shared" ref="C64" si="12">B64/$D$52</f>
        <v>0.52631578947368418</v>
      </c>
      <c r="D64" s="167"/>
      <c r="F64" t="s">
        <v>31</v>
      </c>
      <c r="G64" s="15"/>
      <c r="H64" s="15"/>
      <c r="I64" s="15"/>
      <c r="J64" s="15"/>
      <c r="K64" s="15"/>
      <c r="L64" s="15"/>
      <c r="M64" s="15"/>
      <c r="N64" s="15"/>
      <c r="O64" s="15"/>
      <c r="P64" s="16"/>
      <c r="Q64" s="15"/>
      <c r="S64" s="18">
        <v>45789</v>
      </c>
      <c r="T64" s="169" t="s">
        <v>51</v>
      </c>
      <c r="U64" s="170"/>
      <c r="V64" s="171"/>
      <c r="X64" s="22">
        <v>3</v>
      </c>
      <c r="Y64" t="s">
        <v>7</v>
      </c>
      <c r="Z64" s="23">
        <f t="shared" si="9"/>
        <v>12</v>
      </c>
      <c r="AA64">
        <v>13</v>
      </c>
      <c r="AB64" t="s">
        <v>100</v>
      </c>
      <c r="AC64" s="29">
        <f t="shared" si="10"/>
        <v>4</v>
      </c>
    </row>
    <row r="65" spans="2:29" x14ac:dyDescent="0.35">
      <c r="B65" s="5">
        <v>11</v>
      </c>
      <c r="C65" s="166">
        <f t="shared" ref="C65" si="13">B65/$D$52</f>
        <v>0.57894736842105265</v>
      </c>
      <c r="D65" s="167"/>
      <c r="F65" t="s">
        <v>111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6"/>
      <c r="S65" s="18">
        <v>45796</v>
      </c>
      <c r="T65" s="169" t="s">
        <v>51</v>
      </c>
      <c r="U65" s="170"/>
      <c r="V65" s="171"/>
      <c r="X65" s="22">
        <v>5</v>
      </c>
      <c r="Y65" t="s">
        <v>122</v>
      </c>
      <c r="Z65" s="23">
        <f t="shared" si="9"/>
        <v>11</v>
      </c>
      <c r="AA65">
        <v>13</v>
      </c>
      <c r="AB65" t="s">
        <v>67</v>
      </c>
      <c r="AC65" s="29">
        <f t="shared" si="10"/>
        <v>4</v>
      </c>
    </row>
    <row r="66" spans="2:29" x14ac:dyDescent="0.35">
      <c r="B66" s="5">
        <v>12</v>
      </c>
      <c r="C66" s="166">
        <f t="shared" ref="C66" si="14">B66/$D$52</f>
        <v>0.63157894736842102</v>
      </c>
      <c r="D66" s="167"/>
      <c r="G66">
        <v>9</v>
      </c>
      <c r="H66">
        <v>8</v>
      </c>
      <c r="I66">
        <v>4</v>
      </c>
      <c r="J66">
        <v>3</v>
      </c>
      <c r="K66">
        <f t="shared" ref="K66:Q66" si="15">COUNTA(K55:K65)</f>
        <v>2</v>
      </c>
      <c r="L66">
        <f t="shared" si="15"/>
        <v>1</v>
      </c>
      <c r="M66">
        <f t="shared" si="15"/>
        <v>1</v>
      </c>
      <c r="N66">
        <f t="shared" si="15"/>
        <v>0</v>
      </c>
      <c r="O66">
        <f t="shared" si="15"/>
        <v>1</v>
      </c>
      <c r="P66">
        <f t="shared" si="15"/>
        <v>0</v>
      </c>
      <c r="Q66">
        <f t="shared" si="15"/>
        <v>0</v>
      </c>
      <c r="S66" s="18">
        <v>45803</v>
      </c>
      <c r="T66" s="169" t="s">
        <v>209</v>
      </c>
      <c r="U66" s="170"/>
      <c r="V66" s="171"/>
      <c r="X66" s="22">
        <v>6</v>
      </c>
      <c r="Y66" t="s">
        <v>98</v>
      </c>
      <c r="Z66" s="23">
        <f t="shared" si="9"/>
        <v>9</v>
      </c>
      <c r="AA66">
        <v>13</v>
      </c>
      <c r="AB66" t="s">
        <v>10</v>
      </c>
      <c r="AC66" s="29">
        <f t="shared" si="10"/>
        <v>4</v>
      </c>
    </row>
    <row r="67" spans="2:29" x14ac:dyDescent="0.35">
      <c r="B67" s="5">
        <v>13</v>
      </c>
      <c r="C67" s="166">
        <f t="shared" ref="C67" si="16">B67/$D$52</f>
        <v>0.68421052631578949</v>
      </c>
      <c r="D67" s="167"/>
      <c r="S67" s="18">
        <v>45813</v>
      </c>
      <c r="T67" s="169" t="s">
        <v>42</v>
      </c>
      <c r="U67" s="170"/>
      <c r="V67" s="171"/>
      <c r="X67" s="22">
        <v>6</v>
      </c>
      <c r="Y67" t="s">
        <v>6</v>
      </c>
      <c r="Z67" s="23">
        <f t="shared" si="9"/>
        <v>9</v>
      </c>
      <c r="AA67">
        <v>17</v>
      </c>
      <c r="AB67" t="s">
        <v>191</v>
      </c>
      <c r="AC67" s="29">
        <f t="shared" si="10"/>
        <v>3</v>
      </c>
    </row>
    <row r="68" spans="2:29" x14ac:dyDescent="0.35">
      <c r="B68" s="5">
        <v>14</v>
      </c>
      <c r="C68" s="166">
        <f t="shared" ref="C68" si="17">B68/$D$52</f>
        <v>0.73684210526315785</v>
      </c>
      <c r="D68" s="167"/>
      <c r="S68" s="18">
        <v>45819</v>
      </c>
      <c r="T68" s="169" t="s">
        <v>42</v>
      </c>
      <c r="U68" s="170"/>
      <c r="V68" s="171"/>
      <c r="X68" s="22">
        <v>6</v>
      </c>
      <c r="Y68" t="s">
        <v>34</v>
      </c>
      <c r="Z68" s="23">
        <f t="shared" si="9"/>
        <v>9</v>
      </c>
      <c r="AA68">
        <v>17</v>
      </c>
      <c r="AB68" t="s">
        <v>195</v>
      </c>
      <c r="AC68" s="29">
        <f t="shared" si="10"/>
        <v>3</v>
      </c>
    </row>
    <row r="69" spans="2:29" x14ac:dyDescent="0.35">
      <c r="B69" s="5">
        <v>15</v>
      </c>
      <c r="C69" s="166">
        <f t="shared" ref="C69" si="18">B69/$D$52</f>
        <v>0.78947368421052633</v>
      </c>
      <c r="D69" s="167"/>
      <c r="S69" s="33">
        <v>45824</v>
      </c>
      <c r="T69" s="169" t="s">
        <v>42</v>
      </c>
      <c r="U69" s="170"/>
      <c r="V69" s="171"/>
      <c r="X69" s="22">
        <v>9</v>
      </c>
      <c r="Y69" t="s">
        <v>36</v>
      </c>
      <c r="Z69" s="23">
        <f t="shared" si="9"/>
        <v>7</v>
      </c>
      <c r="AA69">
        <v>17</v>
      </c>
      <c r="AB69" t="s">
        <v>13</v>
      </c>
      <c r="AC69" s="29">
        <f t="shared" si="10"/>
        <v>3</v>
      </c>
    </row>
    <row r="70" spans="2:29" ht="15" thickBot="1" x14ac:dyDescent="0.4">
      <c r="B70" s="5">
        <v>16</v>
      </c>
      <c r="C70" s="166">
        <f t="shared" ref="C70" si="19">B70/$D$52</f>
        <v>0.84210526315789469</v>
      </c>
      <c r="D70" s="167"/>
      <c r="S70" s="18">
        <v>45834</v>
      </c>
      <c r="T70" s="169" t="s">
        <v>42</v>
      </c>
      <c r="U70" s="170"/>
      <c r="V70" s="171"/>
      <c r="X70" s="24">
        <v>9</v>
      </c>
      <c r="Y70" s="37" t="s">
        <v>111</v>
      </c>
      <c r="Z70" s="25">
        <f t="shared" si="9"/>
        <v>7</v>
      </c>
      <c r="AA70">
        <v>17</v>
      </c>
      <c r="AB70" t="s">
        <v>107</v>
      </c>
      <c r="AC70" s="29">
        <f t="shared" si="10"/>
        <v>3</v>
      </c>
    </row>
    <row r="71" spans="2:29" x14ac:dyDescent="0.35">
      <c r="B71" s="5">
        <v>17</v>
      </c>
      <c r="C71" s="166">
        <f t="shared" ref="C71" si="20">B71/$D$52</f>
        <v>0.89473684210526316</v>
      </c>
      <c r="D71" s="167"/>
      <c r="S71" s="38">
        <v>45838</v>
      </c>
      <c r="T71" s="169" t="s">
        <v>51</v>
      </c>
      <c r="U71" s="170"/>
      <c r="V71" s="171"/>
      <c r="AA71" s="28">
        <v>17</v>
      </c>
      <c r="AB71" t="s">
        <v>25</v>
      </c>
      <c r="AC71" s="29">
        <f t="shared" si="10"/>
        <v>3</v>
      </c>
    </row>
    <row r="72" spans="2:29" ht="15" thickBot="1" x14ac:dyDescent="0.4">
      <c r="B72" s="5">
        <v>18</v>
      </c>
      <c r="C72" s="166">
        <f t="shared" ref="C72" si="21">B72/$D$52</f>
        <v>0.94736842105263153</v>
      </c>
      <c r="D72" s="167"/>
      <c r="S72" s="81">
        <v>45845</v>
      </c>
      <c r="T72" s="172" t="s">
        <v>229</v>
      </c>
      <c r="U72" s="173"/>
      <c r="V72" s="174"/>
      <c r="AA72" s="28">
        <v>22</v>
      </c>
      <c r="AB72" t="s">
        <v>200</v>
      </c>
      <c r="AC72" s="29">
        <f t="shared" si="10"/>
        <v>2</v>
      </c>
    </row>
    <row r="73" spans="2:29" x14ac:dyDescent="0.35">
      <c r="B73" s="5">
        <v>19</v>
      </c>
      <c r="C73" s="166">
        <f t="shared" ref="C73" si="22">B73/$D$52</f>
        <v>1</v>
      </c>
      <c r="D73" s="167"/>
      <c r="O73" s="15"/>
      <c r="S73" s="2"/>
      <c r="T73" s="168"/>
      <c r="U73" s="168"/>
      <c r="V73" s="168"/>
      <c r="AA73" s="28">
        <v>22</v>
      </c>
      <c r="AB73" t="s">
        <v>29</v>
      </c>
      <c r="AC73" s="29">
        <f t="shared" si="10"/>
        <v>2</v>
      </c>
    </row>
    <row r="74" spans="2:29" x14ac:dyDescent="0.35">
      <c r="O74" s="15"/>
      <c r="AA74" s="28">
        <v>22</v>
      </c>
      <c r="AB74" t="s">
        <v>106</v>
      </c>
      <c r="AC74" s="29">
        <f t="shared" si="10"/>
        <v>2</v>
      </c>
    </row>
    <row r="75" spans="2:29" x14ac:dyDescent="0.35">
      <c r="O75" s="15"/>
      <c r="AA75" s="28">
        <v>22</v>
      </c>
      <c r="AB75" t="s">
        <v>217</v>
      </c>
      <c r="AC75" s="29">
        <f t="shared" si="10"/>
        <v>2</v>
      </c>
    </row>
    <row r="76" spans="2:29" x14ac:dyDescent="0.35">
      <c r="O76" s="15"/>
      <c r="AA76" s="28">
        <v>22</v>
      </c>
      <c r="AB76" t="s">
        <v>75</v>
      </c>
      <c r="AC76" s="29">
        <f t="shared" si="10"/>
        <v>2</v>
      </c>
    </row>
    <row r="77" spans="2:29" x14ac:dyDescent="0.35">
      <c r="O77" s="15"/>
      <c r="AA77" s="28">
        <v>22</v>
      </c>
      <c r="AB77" t="s">
        <v>218</v>
      </c>
      <c r="AC77" s="29">
        <f t="shared" si="10"/>
        <v>2</v>
      </c>
    </row>
    <row r="78" spans="2:29" x14ac:dyDescent="0.35">
      <c r="O78" s="15"/>
      <c r="AA78" s="28">
        <v>22</v>
      </c>
      <c r="AB78" t="s">
        <v>65</v>
      </c>
      <c r="AC78" s="29">
        <f t="shared" si="10"/>
        <v>2</v>
      </c>
    </row>
    <row r="79" spans="2:29" x14ac:dyDescent="0.35">
      <c r="O79" s="15"/>
      <c r="AA79" s="28">
        <v>29</v>
      </c>
      <c r="AB79" t="s">
        <v>177</v>
      </c>
      <c r="AC79" s="29">
        <f t="shared" si="10"/>
        <v>1</v>
      </c>
    </row>
    <row r="80" spans="2:29" x14ac:dyDescent="0.35">
      <c r="O80" s="15"/>
      <c r="AA80" s="28">
        <v>29</v>
      </c>
      <c r="AB80" t="s">
        <v>181</v>
      </c>
      <c r="AC80" s="29">
        <f t="shared" si="10"/>
        <v>1</v>
      </c>
    </row>
    <row r="81" spans="8:29" x14ac:dyDescent="0.35">
      <c r="O81" s="15"/>
      <c r="AA81" s="28">
        <v>29</v>
      </c>
      <c r="AB81" t="s">
        <v>64</v>
      </c>
      <c r="AC81" s="29">
        <f t="shared" si="10"/>
        <v>1</v>
      </c>
    </row>
    <row r="82" spans="8:29" x14ac:dyDescent="0.35">
      <c r="O82" s="15"/>
      <c r="AA82" s="28">
        <v>29</v>
      </c>
      <c r="AB82" t="s">
        <v>183</v>
      </c>
      <c r="AC82" s="29">
        <f t="shared" si="10"/>
        <v>1</v>
      </c>
    </row>
    <row r="83" spans="8:29" x14ac:dyDescent="0.35">
      <c r="AA83" s="28">
        <v>29</v>
      </c>
      <c r="AB83" t="s">
        <v>31</v>
      </c>
      <c r="AC83" s="29">
        <f t="shared" si="10"/>
        <v>1</v>
      </c>
    </row>
    <row r="84" spans="8:29" x14ac:dyDescent="0.35">
      <c r="AA84" s="28">
        <v>29</v>
      </c>
      <c r="AB84" t="s">
        <v>189</v>
      </c>
      <c r="AC84" s="29">
        <f t="shared" si="10"/>
        <v>1</v>
      </c>
    </row>
    <row r="85" spans="8:29" x14ac:dyDescent="0.35">
      <c r="AA85" s="28">
        <v>29</v>
      </c>
      <c r="AB85" t="s">
        <v>9</v>
      </c>
      <c r="AC85" s="29">
        <f t="shared" si="10"/>
        <v>1</v>
      </c>
    </row>
    <row r="86" spans="8:29" x14ac:dyDescent="0.35"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AA86" s="28">
        <v>29</v>
      </c>
      <c r="AB86" t="s">
        <v>146</v>
      </c>
      <c r="AC86" s="29">
        <f t="shared" si="10"/>
        <v>1</v>
      </c>
    </row>
    <row r="87" spans="8:29" x14ac:dyDescent="0.35">
      <c r="AA87" s="28">
        <v>29</v>
      </c>
      <c r="AB87" t="s">
        <v>4</v>
      </c>
      <c r="AC87" s="29">
        <f t="shared" si="10"/>
        <v>1</v>
      </c>
    </row>
    <row r="88" spans="8:29" x14ac:dyDescent="0.35">
      <c r="AA88" s="28">
        <v>29</v>
      </c>
      <c r="AB88" t="s">
        <v>125</v>
      </c>
      <c r="AC88" s="29">
        <f t="shared" si="10"/>
        <v>1</v>
      </c>
    </row>
    <row r="89" spans="8:29" x14ac:dyDescent="0.35">
      <c r="AA89" s="28">
        <v>29</v>
      </c>
      <c r="AB89" t="s">
        <v>206</v>
      </c>
      <c r="AC89" s="29">
        <f t="shared" si="10"/>
        <v>1</v>
      </c>
    </row>
    <row r="90" spans="8:29" x14ac:dyDescent="0.35">
      <c r="AA90" s="28">
        <v>29</v>
      </c>
      <c r="AB90" t="s">
        <v>204</v>
      </c>
      <c r="AC90" s="29">
        <f t="shared" si="10"/>
        <v>1</v>
      </c>
    </row>
    <row r="91" spans="8:29" x14ac:dyDescent="0.35">
      <c r="AA91" s="28">
        <v>29</v>
      </c>
      <c r="AB91" t="s">
        <v>213</v>
      </c>
      <c r="AC91" s="29">
        <f t="shared" si="10"/>
        <v>1</v>
      </c>
    </row>
    <row r="92" spans="8:29" x14ac:dyDescent="0.35">
      <c r="AA92" s="28">
        <v>29</v>
      </c>
      <c r="AB92" t="s">
        <v>215</v>
      </c>
      <c r="AC92" s="29">
        <f t="shared" si="10"/>
        <v>1</v>
      </c>
    </row>
    <row r="93" spans="8:29" x14ac:dyDescent="0.35">
      <c r="AA93" s="28">
        <v>29</v>
      </c>
      <c r="AB93" t="s">
        <v>208</v>
      </c>
      <c r="AC93" s="29">
        <f t="shared" si="10"/>
        <v>1</v>
      </c>
    </row>
    <row r="94" spans="8:29" x14ac:dyDescent="0.35">
      <c r="AA94" s="28">
        <v>29</v>
      </c>
      <c r="AB94" t="s">
        <v>186</v>
      </c>
      <c r="AC94" s="29">
        <f t="shared" si="10"/>
        <v>1</v>
      </c>
    </row>
    <row r="95" spans="8:29" x14ac:dyDescent="0.35">
      <c r="AA95" s="28">
        <v>29</v>
      </c>
      <c r="AB95" t="s">
        <v>193</v>
      </c>
      <c r="AC95" s="29">
        <f t="shared" si="10"/>
        <v>1</v>
      </c>
    </row>
    <row r="96" spans="8:29" x14ac:dyDescent="0.35">
      <c r="AA96" s="28">
        <v>29</v>
      </c>
      <c r="AB96" t="s">
        <v>219</v>
      </c>
      <c r="AC96" s="29">
        <f t="shared" si="10"/>
        <v>1</v>
      </c>
    </row>
    <row r="97" spans="4:29" x14ac:dyDescent="0.35">
      <c r="AA97" s="28">
        <v>29</v>
      </c>
      <c r="AB97" t="s">
        <v>223</v>
      </c>
      <c r="AC97" s="29">
        <f t="shared" si="10"/>
        <v>1</v>
      </c>
    </row>
    <row r="98" spans="4:29" x14ac:dyDescent="0.35">
      <c r="AA98" s="30">
        <v>29</v>
      </c>
      <c r="AB98" s="31" t="s">
        <v>226</v>
      </c>
      <c r="AC98" s="32">
        <f t="shared" si="10"/>
        <v>1</v>
      </c>
    </row>
    <row r="102" spans="4:29" x14ac:dyDescent="0.35"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4" spans="4:29" x14ac:dyDescent="0.35"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</sheetData>
  <autoFilter ref="A2:AD2" xr:uid="{7B6CF216-F103-48DC-B6F5-D76097A78343}">
    <sortState xmlns:xlrd2="http://schemas.microsoft.com/office/spreadsheetml/2017/richdata2" ref="A3:AD52">
      <sortCondition descending="1" ref="J2"/>
    </sortState>
  </autoFilter>
  <mergeCells count="50">
    <mergeCell ref="C55:D55"/>
    <mergeCell ref="T55:V55"/>
    <mergeCell ref="X55:Z55"/>
    <mergeCell ref="AA55:AB55"/>
    <mergeCell ref="A1:AD1"/>
    <mergeCell ref="B54:D54"/>
    <mergeCell ref="T54:V54"/>
    <mergeCell ref="X54:Z54"/>
    <mergeCell ref="AA54:AB54"/>
    <mergeCell ref="C60:D60"/>
    <mergeCell ref="T60:V60"/>
    <mergeCell ref="C56:D56"/>
    <mergeCell ref="T56:V56"/>
    <mergeCell ref="X56:Z56"/>
    <mergeCell ref="C58:D58"/>
    <mergeCell ref="T58:V58"/>
    <mergeCell ref="C59:D59"/>
    <mergeCell ref="T59:V59"/>
    <mergeCell ref="X59:AC59"/>
    <mergeCell ref="AA56:AB56"/>
    <mergeCell ref="C57:D57"/>
    <mergeCell ref="T57:V57"/>
    <mergeCell ref="X57:Z57"/>
    <mergeCell ref="AA57:AB57"/>
    <mergeCell ref="C61:D61"/>
    <mergeCell ref="T61:V61"/>
    <mergeCell ref="C62:D62"/>
    <mergeCell ref="T62:V62"/>
    <mergeCell ref="C63:D63"/>
    <mergeCell ref="T63:V63"/>
    <mergeCell ref="C64:D64"/>
    <mergeCell ref="T64:V64"/>
    <mergeCell ref="C65:D65"/>
    <mergeCell ref="T65:V65"/>
    <mergeCell ref="C66:D66"/>
    <mergeCell ref="T66:V66"/>
    <mergeCell ref="C67:D67"/>
    <mergeCell ref="T67:V67"/>
    <mergeCell ref="C68:D68"/>
    <mergeCell ref="T68:V68"/>
    <mergeCell ref="C69:D69"/>
    <mergeCell ref="T69:V69"/>
    <mergeCell ref="C73:D73"/>
    <mergeCell ref="T73:V73"/>
    <mergeCell ref="C70:D70"/>
    <mergeCell ref="T70:V70"/>
    <mergeCell ref="C71:D71"/>
    <mergeCell ref="T71:V71"/>
    <mergeCell ref="C72:D72"/>
    <mergeCell ref="T72:V72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86D5-C93B-45D0-87E1-EFDC070344FB}">
  <sheetPr>
    <tabColor theme="4" tint="0.39997558519241921"/>
  </sheetPr>
  <dimension ref="A1:AE69"/>
  <sheetViews>
    <sheetView zoomScale="45" zoomScaleNormal="45" workbookViewId="0">
      <selection activeCell="A3" sqref="A3"/>
    </sheetView>
  </sheetViews>
  <sheetFormatPr defaultRowHeight="14.5" x14ac:dyDescent="0.35"/>
  <cols>
    <col min="2" max="2" width="25.6328125" bestFit="1" customWidth="1"/>
    <col min="3" max="3" width="25.6328125" customWidth="1"/>
    <col min="7" max="8" width="8.7265625" customWidth="1"/>
  </cols>
  <sheetData>
    <row r="1" spans="1:31" ht="18.5" x14ac:dyDescent="0.45">
      <c r="A1" s="157" t="s">
        <v>233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t="s">
        <v>248</v>
      </c>
    </row>
    <row r="2" spans="1:31" x14ac:dyDescent="0.35">
      <c r="A2" t="s">
        <v>20</v>
      </c>
      <c r="B2" t="s">
        <v>0</v>
      </c>
      <c r="C2" t="s">
        <v>96</v>
      </c>
      <c r="D2" t="s">
        <v>1</v>
      </c>
      <c r="E2" t="s">
        <v>2</v>
      </c>
      <c r="F2" t="s">
        <v>17</v>
      </c>
      <c r="G2" t="s">
        <v>3</v>
      </c>
      <c r="H2" t="s">
        <v>19</v>
      </c>
      <c r="I2" t="s">
        <v>22</v>
      </c>
      <c r="J2" t="s">
        <v>21</v>
      </c>
      <c r="L2" s="15">
        <v>45908</v>
      </c>
      <c r="M2" s="15">
        <f>+L2+7</f>
        <v>45915</v>
      </c>
      <c r="N2" s="15">
        <f t="shared" ref="N2:AD2" si="0">+M2+7</f>
        <v>45922</v>
      </c>
      <c r="O2" s="15">
        <f t="shared" si="0"/>
        <v>45929</v>
      </c>
      <c r="P2" s="15">
        <f t="shared" si="0"/>
        <v>45936</v>
      </c>
      <c r="Q2" s="15">
        <f t="shared" si="0"/>
        <v>45943</v>
      </c>
      <c r="R2" s="15">
        <v>45951</v>
      </c>
      <c r="S2" s="15">
        <f t="shared" si="0"/>
        <v>45958</v>
      </c>
      <c r="T2" s="15">
        <f t="shared" si="0"/>
        <v>45965</v>
      </c>
      <c r="U2" s="15">
        <f t="shared" si="0"/>
        <v>45972</v>
      </c>
      <c r="V2" s="15">
        <v>45978</v>
      </c>
      <c r="W2" s="15">
        <v>45986</v>
      </c>
      <c r="X2" s="15">
        <f>+W2+7</f>
        <v>45993</v>
      </c>
      <c r="Y2" s="15">
        <f t="shared" si="0"/>
        <v>46000</v>
      </c>
      <c r="Z2" s="15">
        <f t="shared" si="0"/>
        <v>46007</v>
      </c>
      <c r="AA2" s="15">
        <f>+Z2+14</f>
        <v>46021</v>
      </c>
      <c r="AB2" s="15">
        <f t="shared" si="0"/>
        <v>46028</v>
      </c>
      <c r="AC2" s="15">
        <f t="shared" si="0"/>
        <v>46035</v>
      </c>
      <c r="AD2" s="15">
        <f t="shared" si="0"/>
        <v>46042</v>
      </c>
    </row>
    <row r="3" spans="1:31" x14ac:dyDescent="0.35">
      <c r="A3">
        <v>1</v>
      </c>
      <c r="B3" t="s">
        <v>116</v>
      </c>
      <c r="C3" t="s">
        <v>5</v>
      </c>
      <c r="D3">
        <f t="shared" ref="D3:D37" si="1">+COUNTA(L3:AD3)</f>
        <v>18</v>
      </c>
      <c r="E3">
        <f t="shared" ref="E3:E37" si="2">+COUNTIF(L3:AD3,"W")</f>
        <v>12</v>
      </c>
      <c r="F3">
        <f t="shared" ref="F3:F37" si="3">+COUNTIF(L3:AD3,"L")</f>
        <v>6</v>
      </c>
      <c r="G3" s="1">
        <f t="shared" ref="G3:G37" si="4">E3/D3</f>
        <v>0.66666666666666663</v>
      </c>
      <c r="H3" s="1">
        <f t="shared" ref="H3:H37" si="5">VLOOKUP(D3,$B$42:$C$60,2,FALSE)</f>
        <v>0.94736842105263153</v>
      </c>
      <c r="I3" s="6">
        <f t="shared" ref="I3:I37" si="6">+E3/D3</f>
        <v>0.66666666666666663</v>
      </c>
      <c r="J3" s="12">
        <f t="shared" ref="J3:J37" si="7">I3*H3</f>
        <v>0.63157894736842102</v>
      </c>
      <c r="L3" s="3" t="s">
        <v>11</v>
      </c>
      <c r="M3" s="4"/>
      <c r="N3" s="3" t="s">
        <v>11</v>
      </c>
      <c r="O3" s="3" t="s">
        <v>12</v>
      </c>
      <c r="P3" s="3" t="s">
        <v>12</v>
      </c>
      <c r="Q3" s="3" t="s">
        <v>11</v>
      </c>
      <c r="R3" s="3" t="s">
        <v>12</v>
      </c>
      <c r="S3" s="3" t="s">
        <v>12</v>
      </c>
      <c r="T3" s="3" t="s">
        <v>12</v>
      </c>
      <c r="U3" s="3" t="s">
        <v>12</v>
      </c>
      <c r="V3" s="3" t="s">
        <v>11</v>
      </c>
      <c r="W3" s="3" t="s">
        <v>11</v>
      </c>
      <c r="X3" s="3" t="s">
        <v>12</v>
      </c>
      <c r="Y3" s="3" t="s">
        <v>12</v>
      </c>
      <c r="Z3" s="3" t="s">
        <v>12</v>
      </c>
      <c r="AA3" s="3" t="s">
        <v>12</v>
      </c>
      <c r="AB3" s="3" t="s">
        <v>12</v>
      </c>
      <c r="AC3" s="3" t="s">
        <v>11</v>
      </c>
      <c r="AD3" s="3" t="s">
        <v>12</v>
      </c>
    </row>
    <row r="4" spans="1:31" x14ac:dyDescent="0.35">
      <c r="A4">
        <v>2</v>
      </c>
      <c r="B4" t="s">
        <v>91</v>
      </c>
      <c r="C4" t="s">
        <v>8</v>
      </c>
      <c r="D4">
        <f t="shared" si="1"/>
        <v>18</v>
      </c>
      <c r="E4">
        <f t="shared" si="2"/>
        <v>10</v>
      </c>
      <c r="F4">
        <f t="shared" si="3"/>
        <v>8</v>
      </c>
      <c r="G4" s="1">
        <f t="shared" si="4"/>
        <v>0.55555555555555558</v>
      </c>
      <c r="H4" s="1">
        <f t="shared" si="5"/>
        <v>0.94736842105263153</v>
      </c>
      <c r="I4" s="6">
        <f t="shared" si="6"/>
        <v>0.55555555555555558</v>
      </c>
      <c r="J4" s="7">
        <f t="shared" si="7"/>
        <v>0.52631578947368418</v>
      </c>
      <c r="L4" s="3" t="s">
        <v>12</v>
      </c>
      <c r="M4" s="3" t="s">
        <v>11</v>
      </c>
      <c r="N4" s="3" t="s">
        <v>12</v>
      </c>
      <c r="O4" s="3" t="s">
        <v>12</v>
      </c>
      <c r="P4" s="3" t="s">
        <v>12</v>
      </c>
      <c r="Q4" s="3" t="s">
        <v>11</v>
      </c>
      <c r="R4" s="3" t="s">
        <v>12</v>
      </c>
      <c r="S4" s="3" t="s">
        <v>11</v>
      </c>
      <c r="T4" s="3" t="s">
        <v>11</v>
      </c>
      <c r="U4" s="3" t="s">
        <v>12</v>
      </c>
      <c r="V4" s="3" t="s">
        <v>11</v>
      </c>
      <c r="W4" s="3" t="s">
        <v>12</v>
      </c>
      <c r="X4" s="4"/>
      <c r="Y4" s="3" t="s">
        <v>12</v>
      </c>
      <c r="Z4" s="3" t="s">
        <v>11</v>
      </c>
      <c r="AA4" s="3" t="s">
        <v>11</v>
      </c>
      <c r="AB4" s="3" t="s">
        <v>11</v>
      </c>
      <c r="AC4" s="3" t="s">
        <v>12</v>
      </c>
      <c r="AD4" s="3" t="s">
        <v>12</v>
      </c>
    </row>
    <row r="5" spans="1:31" x14ac:dyDescent="0.35">
      <c r="A5">
        <v>3</v>
      </c>
      <c r="B5" t="s">
        <v>104</v>
      </c>
      <c r="C5" t="s">
        <v>107</v>
      </c>
      <c r="D5">
        <f t="shared" si="1"/>
        <v>12</v>
      </c>
      <c r="E5">
        <f t="shared" si="2"/>
        <v>9</v>
      </c>
      <c r="F5">
        <f t="shared" si="3"/>
        <v>3</v>
      </c>
      <c r="G5" s="1">
        <f t="shared" si="4"/>
        <v>0.75</v>
      </c>
      <c r="H5" s="1">
        <f t="shared" si="5"/>
        <v>0.63157894736842102</v>
      </c>
      <c r="I5" s="6">
        <f t="shared" si="6"/>
        <v>0.75</v>
      </c>
      <c r="J5" s="7">
        <f t="shared" si="7"/>
        <v>0.47368421052631576</v>
      </c>
      <c r="L5" s="4"/>
      <c r="M5" s="4"/>
      <c r="N5" s="4"/>
      <c r="O5" s="4"/>
      <c r="P5" s="4"/>
      <c r="Q5" s="4"/>
      <c r="R5" s="3" t="s">
        <v>11</v>
      </c>
      <c r="S5" s="3" t="s">
        <v>11</v>
      </c>
      <c r="T5" s="3" t="s">
        <v>12</v>
      </c>
      <c r="U5" s="3" t="s">
        <v>12</v>
      </c>
      <c r="V5" s="3" t="s">
        <v>12</v>
      </c>
      <c r="W5" s="4"/>
      <c r="X5" s="3" t="s">
        <v>12</v>
      </c>
      <c r="Y5" s="3" t="s">
        <v>11</v>
      </c>
      <c r="Z5" s="3" t="s">
        <v>12</v>
      </c>
      <c r="AA5" s="3" t="s">
        <v>12</v>
      </c>
      <c r="AB5" s="3" t="s">
        <v>12</v>
      </c>
      <c r="AC5" s="3" t="s">
        <v>12</v>
      </c>
      <c r="AD5" s="3" t="s">
        <v>12</v>
      </c>
    </row>
    <row r="6" spans="1:31" x14ac:dyDescent="0.35">
      <c r="A6">
        <v>4</v>
      </c>
      <c r="B6" t="s">
        <v>90</v>
      </c>
      <c r="C6" t="s">
        <v>6</v>
      </c>
      <c r="D6">
        <f t="shared" si="1"/>
        <v>14</v>
      </c>
      <c r="E6">
        <f t="shared" si="2"/>
        <v>8</v>
      </c>
      <c r="F6">
        <f t="shared" si="3"/>
        <v>6</v>
      </c>
      <c r="G6" s="1">
        <f t="shared" si="4"/>
        <v>0.5714285714285714</v>
      </c>
      <c r="H6" s="1">
        <f t="shared" si="5"/>
        <v>0.73684210526315785</v>
      </c>
      <c r="I6" s="6">
        <f t="shared" si="6"/>
        <v>0.5714285714285714</v>
      </c>
      <c r="J6" s="7">
        <f t="shared" si="7"/>
        <v>0.42105263157894735</v>
      </c>
      <c r="L6" s="3" t="s">
        <v>11</v>
      </c>
      <c r="M6" s="3" t="s">
        <v>12</v>
      </c>
      <c r="N6" s="4"/>
      <c r="O6" s="4"/>
      <c r="P6" s="4"/>
      <c r="Q6" s="4"/>
      <c r="R6" s="4"/>
      <c r="S6" s="3" t="s">
        <v>11</v>
      </c>
      <c r="T6" s="3" t="s">
        <v>12</v>
      </c>
      <c r="U6" s="3" t="s">
        <v>12</v>
      </c>
      <c r="V6" s="3" t="s">
        <v>11</v>
      </c>
      <c r="W6" s="3" t="s">
        <v>12</v>
      </c>
      <c r="X6" s="3" t="s">
        <v>12</v>
      </c>
      <c r="Y6" s="3" t="s">
        <v>11</v>
      </c>
      <c r="Z6" s="3" t="s">
        <v>12</v>
      </c>
      <c r="AA6" s="3" t="s">
        <v>12</v>
      </c>
      <c r="AB6" s="3" t="s">
        <v>11</v>
      </c>
      <c r="AC6" s="3" t="s">
        <v>12</v>
      </c>
      <c r="AD6" s="3" t="s">
        <v>11</v>
      </c>
    </row>
    <row r="7" spans="1:31" x14ac:dyDescent="0.35">
      <c r="A7">
        <v>5</v>
      </c>
      <c r="B7" t="s">
        <v>26</v>
      </c>
      <c r="C7" t="s">
        <v>122</v>
      </c>
      <c r="D7">
        <f t="shared" si="1"/>
        <v>14</v>
      </c>
      <c r="E7">
        <f t="shared" si="2"/>
        <v>6</v>
      </c>
      <c r="F7">
        <f t="shared" si="3"/>
        <v>8</v>
      </c>
      <c r="G7" s="1">
        <f t="shared" si="4"/>
        <v>0.42857142857142855</v>
      </c>
      <c r="H7" s="1">
        <f t="shared" si="5"/>
        <v>0.73684210526315785</v>
      </c>
      <c r="I7" s="6">
        <f t="shared" si="6"/>
        <v>0.42857142857142855</v>
      </c>
      <c r="J7" s="13">
        <f t="shared" si="7"/>
        <v>0.31578947368421051</v>
      </c>
      <c r="L7" s="4"/>
      <c r="M7" s="3" t="s">
        <v>12</v>
      </c>
      <c r="N7" s="4"/>
      <c r="O7" s="3" t="s">
        <v>11</v>
      </c>
      <c r="P7" s="3" t="s">
        <v>12</v>
      </c>
      <c r="Q7" s="3" t="s">
        <v>12</v>
      </c>
      <c r="R7" s="3" t="s">
        <v>11</v>
      </c>
      <c r="S7" s="4"/>
      <c r="T7" s="4"/>
      <c r="U7" s="3" t="s">
        <v>11</v>
      </c>
      <c r="V7" s="3" t="s">
        <v>12</v>
      </c>
      <c r="W7" s="3" t="s">
        <v>12</v>
      </c>
      <c r="X7" s="4"/>
      <c r="Y7" s="3" t="s">
        <v>12</v>
      </c>
      <c r="Z7" s="3" t="s">
        <v>11</v>
      </c>
      <c r="AA7" s="3" t="s">
        <v>11</v>
      </c>
      <c r="AB7" s="3" t="s">
        <v>11</v>
      </c>
      <c r="AC7" s="3" t="s">
        <v>11</v>
      </c>
      <c r="AD7" s="3" t="s">
        <v>11</v>
      </c>
    </row>
    <row r="8" spans="1:31" x14ac:dyDescent="0.35">
      <c r="A8">
        <v>6</v>
      </c>
      <c r="B8" t="s">
        <v>121</v>
      </c>
      <c r="C8" t="s">
        <v>10</v>
      </c>
      <c r="D8">
        <f t="shared" si="1"/>
        <v>17</v>
      </c>
      <c r="E8">
        <f t="shared" si="2"/>
        <v>6</v>
      </c>
      <c r="F8">
        <f t="shared" si="3"/>
        <v>11</v>
      </c>
      <c r="G8" s="1">
        <f t="shared" si="4"/>
        <v>0.35294117647058826</v>
      </c>
      <c r="H8" s="1">
        <f t="shared" si="5"/>
        <v>0.89473684210526316</v>
      </c>
      <c r="I8" s="6">
        <f t="shared" si="6"/>
        <v>0.35294117647058826</v>
      </c>
      <c r="J8" s="13">
        <f t="shared" si="7"/>
        <v>0.31578947368421056</v>
      </c>
      <c r="L8" s="3" t="s">
        <v>12</v>
      </c>
      <c r="M8" s="3" t="s">
        <v>12</v>
      </c>
      <c r="N8" s="4"/>
      <c r="O8" s="3" t="s">
        <v>11</v>
      </c>
      <c r="P8" s="3" t="s">
        <v>11</v>
      </c>
      <c r="Q8" s="3" t="s">
        <v>11</v>
      </c>
      <c r="R8" s="3" t="s">
        <v>12</v>
      </c>
      <c r="S8" s="3" t="s">
        <v>11</v>
      </c>
      <c r="T8" s="3" t="s">
        <v>11</v>
      </c>
      <c r="U8" s="3" t="s">
        <v>11</v>
      </c>
      <c r="V8" s="3" t="s">
        <v>11</v>
      </c>
      <c r="W8" s="3" t="s">
        <v>11</v>
      </c>
      <c r="X8" s="3" t="s">
        <v>11</v>
      </c>
      <c r="Y8" s="3" t="s">
        <v>12</v>
      </c>
      <c r="Z8" s="3" t="s">
        <v>11</v>
      </c>
      <c r="AA8" s="4"/>
      <c r="AB8" s="3" t="s">
        <v>12</v>
      </c>
      <c r="AC8" s="3" t="s">
        <v>12</v>
      </c>
      <c r="AD8" s="3" t="s">
        <v>11</v>
      </c>
    </row>
    <row r="9" spans="1:31" x14ac:dyDescent="0.35">
      <c r="A9">
        <v>7</v>
      </c>
      <c r="B9" t="s">
        <v>249</v>
      </c>
      <c r="C9" t="s">
        <v>250</v>
      </c>
      <c r="D9">
        <f t="shared" si="1"/>
        <v>5</v>
      </c>
      <c r="E9">
        <f t="shared" si="2"/>
        <v>5</v>
      </c>
      <c r="F9">
        <f t="shared" si="3"/>
        <v>0</v>
      </c>
      <c r="G9" s="1">
        <f t="shared" si="4"/>
        <v>1</v>
      </c>
      <c r="H9" s="1">
        <f t="shared" si="5"/>
        <v>0.26315789473684209</v>
      </c>
      <c r="I9" s="6">
        <f t="shared" si="6"/>
        <v>1</v>
      </c>
      <c r="J9" s="13">
        <f t="shared" si="7"/>
        <v>0.26315789473684209</v>
      </c>
      <c r="L9" s="4"/>
      <c r="M9" s="4"/>
      <c r="N9" s="3" t="s">
        <v>12</v>
      </c>
      <c r="O9" s="3" t="s">
        <v>12</v>
      </c>
      <c r="P9" s="3" t="s">
        <v>12</v>
      </c>
      <c r="Q9" s="4"/>
      <c r="R9" s="4"/>
      <c r="S9" s="3" t="s">
        <v>12</v>
      </c>
      <c r="T9" s="4"/>
      <c r="U9" s="4"/>
      <c r="V9" s="4"/>
      <c r="W9" s="4"/>
      <c r="X9" s="3" t="s">
        <v>12</v>
      </c>
      <c r="Y9" s="4"/>
      <c r="Z9" s="4"/>
      <c r="AA9" s="4"/>
      <c r="AB9" s="4"/>
      <c r="AC9" s="4"/>
      <c r="AD9" s="4"/>
    </row>
    <row r="10" spans="1:31" x14ac:dyDescent="0.35">
      <c r="A10">
        <v>8</v>
      </c>
      <c r="B10" t="s">
        <v>37</v>
      </c>
      <c r="C10" t="s">
        <v>133</v>
      </c>
      <c r="D10">
        <f t="shared" si="1"/>
        <v>12</v>
      </c>
      <c r="E10">
        <f t="shared" si="2"/>
        <v>5</v>
      </c>
      <c r="F10">
        <f t="shared" si="3"/>
        <v>7</v>
      </c>
      <c r="G10" s="1">
        <f t="shared" si="4"/>
        <v>0.41666666666666669</v>
      </c>
      <c r="H10" s="1">
        <f t="shared" si="5"/>
        <v>0.63157894736842102</v>
      </c>
      <c r="I10" s="6">
        <f t="shared" si="6"/>
        <v>0.41666666666666669</v>
      </c>
      <c r="J10" s="13">
        <f t="shared" si="7"/>
        <v>0.26315789473684209</v>
      </c>
      <c r="L10" s="4"/>
      <c r="M10" s="3" t="s">
        <v>12</v>
      </c>
      <c r="N10" s="4"/>
      <c r="O10" s="4"/>
      <c r="P10" s="4"/>
      <c r="Q10" s="4"/>
      <c r="R10" s="3" t="s">
        <v>11</v>
      </c>
      <c r="S10" s="4"/>
      <c r="T10" s="4"/>
      <c r="U10" s="3" t="s">
        <v>11</v>
      </c>
      <c r="V10" s="3" t="s">
        <v>12</v>
      </c>
      <c r="W10" s="3" t="s">
        <v>12</v>
      </c>
      <c r="X10" s="3" t="s">
        <v>11</v>
      </c>
      <c r="Y10" s="3" t="s">
        <v>12</v>
      </c>
      <c r="Z10" s="3" t="s">
        <v>11</v>
      </c>
      <c r="AA10" s="3" t="s">
        <v>12</v>
      </c>
      <c r="AB10" s="3" t="s">
        <v>11</v>
      </c>
      <c r="AC10" s="3" t="s">
        <v>11</v>
      </c>
      <c r="AD10" s="3" t="s">
        <v>11</v>
      </c>
    </row>
    <row r="11" spans="1:31" x14ac:dyDescent="0.35">
      <c r="A11">
        <v>9</v>
      </c>
      <c r="B11" t="s">
        <v>216</v>
      </c>
      <c r="C11" t="s">
        <v>217</v>
      </c>
      <c r="D11">
        <f t="shared" si="1"/>
        <v>5</v>
      </c>
      <c r="E11">
        <f t="shared" si="2"/>
        <v>4</v>
      </c>
      <c r="F11">
        <f t="shared" si="3"/>
        <v>1</v>
      </c>
      <c r="G11" s="1">
        <f t="shared" si="4"/>
        <v>0.8</v>
      </c>
      <c r="H11" s="1">
        <f t="shared" si="5"/>
        <v>0.26315789473684209</v>
      </c>
      <c r="I11" s="6">
        <f t="shared" si="6"/>
        <v>0.8</v>
      </c>
      <c r="J11" s="13">
        <f t="shared" si="7"/>
        <v>0.21052631578947367</v>
      </c>
      <c r="L11" s="4"/>
      <c r="M11" s="4"/>
      <c r="N11" s="4"/>
      <c r="O11" s="3" t="s">
        <v>12</v>
      </c>
      <c r="P11" s="3" t="s">
        <v>12</v>
      </c>
      <c r="Q11" s="99"/>
      <c r="R11" s="4"/>
      <c r="S11" s="3" t="s">
        <v>12</v>
      </c>
      <c r="T11" s="4"/>
      <c r="U11" s="4"/>
      <c r="V11" s="4"/>
      <c r="W11" s="4"/>
      <c r="X11" s="4"/>
      <c r="Y11" s="4"/>
      <c r="Z11" s="3" t="s">
        <v>12</v>
      </c>
      <c r="AA11" s="3" t="s">
        <v>11</v>
      </c>
      <c r="AB11" s="4"/>
      <c r="AC11" s="4"/>
      <c r="AD11" s="4"/>
    </row>
    <row r="12" spans="1:31" x14ac:dyDescent="0.35">
      <c r="A12">
        <v>10</v>
      </c>
      <c r="B12" t="s">
        <v>94</v>
      </c>
      <c r="C12" t="s">
        <v>7</v>
      </c>
      <c r="D12">
        <f t="shared" si="1"/>
        <v>7</v>
      </c>
      <c r="E12">
        <f t="shared" si="2"/>
        <v>4</v>
      </c>
      <c r="F12">
        <f t="shared" si="3"/>
        <v>3</v>
      </c>
      <c r="G12" s="1">
        <f t="shared" si="4"/>
        <v>0.5714285714285714</v>
      </c>
      <c r="H12" s="1">
        <f t="shared" si="5"/>
        <v>0.36842105263157893</v>
      </c>
      <c r="I12" s="6">
        <f t="shared" si="6"/>
        <v>0.5714285714285714</v>
      </c>
      <c r="J12" s="13">
        <f t="shared" si="7"/>
        <v>0.21052631578947367</v>
      </c>
      <c r="L12" s="3" t="s">
        <v>12</v>
      </c>
      <c r="M12" s="4"/>
      <c r="N12" s="4"/>
      <c r="O12" s="4"/>
      <c r="P12" s="3" t="s">
        <v>11</v>
      </c>
      <c r="Q12" s="4"/>
      <c r="R12" s="3" t="s">
        <v>11</v>
      </c>
      <c r="S12" s="4"/>
      <c r="T12" s="4"/>
      <c r="U12" s="4"/>
      <c r="V12" s="4"/>
      <c r="W12" s="3" t="s">
        <v>11</v>
      </c>
      <c r="X12" s="4"/>
      <c r="Y12" s="4"/>
      <c r="Z12" s="4"/>
      <c r="AA12" s="4"/>
      <c r="AB12" s="3" t="s">
        <v>12</v>
      </c>
      <c r="AC12" s="3" t="s">
        <v>12</v>
      </c>
      <c r="AD12" s="3" t="s">
        <v>12</v>
      </c>
    </row>
    <row r="13" spans="1:31" x14ac:dyDescent="0.35">
      <c r="A13">
        <v>11</v>
      </c>
      <c r="B13" t="s">
        <v>119</v>
      </c>
      <c r="C13" t="s">
        <v>13</v>
      </c>
      <c r="D13">
        <f t="shared" si="1"/>
        <v>11</v>
      </c>
      <c r="E13">
        <f t="shared" si="2"/>
        <v>4</v>
      </c>
      <c r="F13">
        <f t="shared" si="3"/>
        <v>7</v>
      </c>
      <c r="G13" s="1">
        <f t="shared" si="4"/>
        <v>0.36363636363636365</v>
      </c>
      <c r="H13" s="1">
        <f t="shared" si="5"/>
        <v>0.57894736842105265</v>
      </c>
      <c r="I13" s="6">
        <f t="shared" si="6"/>
        <v>0.36363636363636365</v>
      </c>
      <c r="J13" s="13">
        <f t="shared" si="7"/>
        <v>0.2105263157894737</v>
      </c>
      <c r="L13" s="4"/>
      <c r="M13" s="3" t="s">
        <v>11</v>
      </c>
      <c r="N13" s="4"/>
      <c r="O13" s="3" t="s">
        <v>12</v>
      </c>
      <c r="P13" s="3" t="s">
        <v>11</v>
      </c>
      <c r="Q13" s="3" t="s">
        <v>12</v>
      </c>
      <c r="R13" s="4"/>
      <c r="S13" s="3" t="s">
        <v>11</v>
      </c>
      <c r="T13" s="4"/>
      <c r="U13" s="3" t="s">
        <v>11</v>
      </c>
      <c r="V13" s="3" t="s">
        <v>12</v>
      </c>
      <c r="W13" s="3" t="s">
        <v>11</v>
      </c>
      <c r="X13" s="3" t="s">
        <v>11</v>
      </c>
      <c r="Y13" s="4"/>
      <c r="Z13" s="3" t="s">
        <v>12</v>
      </c>
      <c r="AA13" s="4"/>
      <c r="AB13" s="4"/>
      <c r="AC13" s="3" t="s">
        <v>11</v>
      </c>
      <c r="AD13" s="4"/>
    </row>
    <row r="14" spans="1:31" x14ac:dyDescent="0.35">
      <c r="A14">
        <v>12</v>
      </c>
      <c r="B14" t="s">
        <v>311</v>
      </c>
      <c r="C14" t="s">
        <v>265</v>
      </c>
      <c r="D14">
        <f t="shared" si="1"/>
        <v>4</v>
      </c>
      <c r="E14">
        <f t="shared" si="2"/>
        <v>3</v>
      </c>
      <c r="F14">
        <f t="shared" si="3"/>
        <v>1</v>
      </c>
      <c r="G14" s="1">
        <f t="shared" si="4"/>
        <v>0.75</v>
      </c>
      <c r="H14" s="1">
        <f t="shared" si="5"/>
        <v>0.21052631578947367</v>
      </c>
      <c r="I14" s="6">
        <f t="shared" si="6"/>
        <v>0.75</v>
      </c>
      <c r="J14" s="8">
        <f t="shared" si="7"/>
        <v>0.15789473684210525</v>
      </c>
      <c r="L14" s="4"/>
      <c r="M14" s="4"/>
      <c r="N14" s="4"/>
      <c r="O14" s="4"/>
      <c r="P14" s="4"/>
      <c r="Q14" s="4"/>
      <c r="R14" s="4"/>
      <c r="S14" s="3" t="s">
        <v>12</v>
      </c>
      <c r="T14" s="3" t="s">
        <v>12</v>
      </c>
      <c r="U14" s="4"/>
      <c r="V14" s="4"/>
      <c r="W14" s="4"/>
      <c r="X14" s="3" t="s">
        <v>12</v>
      </c>
      <c r="Y14" s="3" t="s">
        <v>11</v>
      </c>
      <c r="Z14" s="4"/>
      <c r="AA14" s="4"/>
      <c r="AB14" s="4"/>
      <c r="AC14" s="4"/>
      <c r="AD14" s="4"/>
    </row>
    <row r="15" spans="1:31" x14ac:dyDescent="0.35">
      <c r="A15">
        <v>13</v>
      </c>
      <c r="B15" t="s">
        <v>31</v>
      </c>
      <c r="C15" t="s">
        <v>31</v>
      </c>
      <c r="D15">
        <f t="shared" si="1"/>
        <v>3</v>
      </c>
      <c r="E15">
        <f t="shared" si="2"/>
        <v>2</v>
      </c>
      <c r="F15">
        <f t="shared" si="3"/>
        <v>1</v>
      </c>
      <c r="G15" s="1">
        <f t="shared" si="4"/>
        <v>0.66666666666666663</v>
      </c>
      <c r="H15" s="1">
        <f t="shared" si="5"/>
        <v>0.15789473684210525</v>
      </c>
      <c r="I15" s="6">
        <f t="shared" si="6"/>
        <v>0.66666666666666663</v>
      </c>
      <c r="J15" s="8">
        <f t="shared" si="7"/>
        <v>0.10526315789473684</v>
      </c>
      <c r="L15" s="4"/>
      <c r="M15" s="4"/>
      <c r="N15" s="4"/>
      <c r="O15" s="4"/>
      <c r="P15" s="4"/>
      <c r="Q15" s="4"/>
      <c r="R15" s="3" t="s">
        <v>11</v>
      </c>
      <c r="S15" s="3" t="s">
        <v>12</v>
      </c>
      <c r="T15" s="3" t="s">
        <v>12</v>
      </c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1:31" x14ac:dyDescent="0.35">
      <c r="A16">
        <v>14</v>
      </c>
      <c r="B16" t="s">
        <v>231</v>
      </c>
      <c r="C16" t="s">
        <v>98</v>
      </c>
      <c r="D16">
        <f t="shared" si="1"/>
        <v>4</v>
      </c>
      <c r="E16">
        <f t="shared" si="2"/>
        <v>2</v>
      </c>
      <c r="F16">
        <f t="shared" si="3"/>
        <v>2</v>
      </c>
      <c r="G16" s="1">
        <f t="shared" si="4"/>
        <v>0.5</v>
      </c>
      <c r="H16" s="1">
        <f t="shared" si="5"/>
        <v>0.21052631578947367</v>
      </c>
      <c r="I16" s="6">
        <f t="shared" si="6"/>
        <v>0.5</v>
      </c>
      <c r="J16" s="8">
        <f t="shared" si="7"/>
        <v>0.10526315789473684</v>
      </c>
      <c r="L16" s="4"/>
      <c r="M16" s="3" t="s">
        <v>12</v>
      </c>
      <c r="N16" s="4"/>
      <c r="O16" s="4"/>
      <c r="P16" s="4"/>
      <c r="Q16" s="3" t="s">
        <v>11</v>
      </c>
      <c r="R16" s="4"/>
      <c r="S16" s="4"/>
      <c r="T16" s="4"/>
      <c r="U16" s="4"/>
      <c r="V16" s="3" t="s">
        <v>12</v>
      </c>
      <c r="W16" s="3" t="s">
        <v>11</v>
      </c>
      <c r="X16" s="4"/>
      <c r="Y16" s="4"/>
      <c r="Z16" s="4"/>
      <c r="AA16" s="4"/>
      <c r="AB16" s="4"/>
      <c r="AC16" s="4"/>
      <c r="AD16" s="4"/>
    </row>
    <row r="17" spans="1:30" x14ac:dyDescent="0.35">
      <c r="A17">
        <v>15</v>
      </c>
      <c r="B17" t="s">
        <v>99</v>
      </c>
      <c r="C17" t="s">
        <v>100</v>
      </c>
      <c r="D17">
        <f t="shared" si="1"/>
        <v>5</v>
      </c>
      <c r="E17">
        <f t="shared" si="2"/>
        <v>2</v>
      </c>
      <c r="F17">
        <f t="shared" si="3"/>
        <v>3</v>
      </c>
      <c r="G17" s="1">
        <f t="shared" si="4"/>
        <v>0.4</v>
      </c>
      <c r="H17" s="1">
        <f t="shared" si="5"/>
        <v>0.26315789473684209</v>
      </c>
      <c r="I17" s="6">
        <f t="shared" si="6"/>
        <v>0.4</v>
      </c>
      <c r="J17" s="8">
        <f t="shared" si="7"/>
        <v>0.10526315789473684</v>
      </c>
      <c r="L17" s="4"/>
      <c r="M17" s="3" t="s">
        <v>11</v>
      </c>
      <c r="N17" s="4"/>
      <c r="O17" s="4"/>
      <c r="P17" s="4"/>
      <c r="Q17" s="3" t="s">
        <v>12</v>
      </c>
      <c r="R17" s="4"/>
      <c r="S17" s="4"/>
      <c r="T17" s="4"/>
      <c r="U17" s="4"/>
      <c r="V17" s="3" t="s">
        <v>11</v>
      </c>
      <c r="W17" s="3" t="s">
        <v>12</v>
      </c>
      <c r="X17" s="4"/>
      <c r="Y17" s="4"/>
      <c r="Z17" s="4"/>
      <c r="AA17" s="4"/>
      <c r="AB17" s="4"/>
      <c r="AC17" s="4"/>
      <c r="AD17" s="3" t="s">
        <v>11</v>
      </c>
    </row>
    <row r="18" spans="1:30" x14ac:dyDescent="0.35">
      <c r="A18">
        <v>16</v>
      </c>
      <c r="B18" t="s">
        <v>232</v>
      </c>
      <c r="C18" t="s">
        <v>232</v>
      </c>
      <c r="D18">
        <f t="shared" si="1"/>
        <v>1</v>
      </c>
      <c r="E18">
        <f t="shared" si="2"/>
        <v>1</v>
      </c>
      <c r="F18">
        <f t="shared" si="3"/>
        <v>0</v>
      </c>
      <c r="G18" s="1">
        <f t="shared" si="4"/>
        <v>1</v>
      </c>
      <c r="H18" s="1">
        <f t="shared" si="5"/>
        <v>5.2631578947368418E-2</v>
      </c>
      <c r="I18" s="6">
        <f t="shared" si="6"/>
        <v>1</v>
      </c>
      <c r="J18" s="8">
        <f t="shared" si="7"/>
        <v>5.2631578947368418E-2</v>
      </c>
      <c r="L18" s="3" t="s">
        <v>12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1:30" x14ac:dyDescent="0.35">
      <c r="A19">
        <v>16</v>
      </c>
      <c r="B19" t="s">
        <v>190</v>
      </c>
      <c r="C19" t="s">
        <v>191</v>
      </c>
      <c r="D19">
        <f t="shared" si="1"/>
        <v>1</v>
      </c>
      <c r="E19">
        <f t="shared" si="2"/>
        <v>1</v>
      </c>
      <c r="F19">
        <f t="shared" si="3"/>
        <v>0</v>
      </c>
      <c r="G19" s="1">
        <f t="shared" si="4"/>
        <v>1</v>
      </c>
      <c r="H19" s="1">
        <f t="shared" si="5"/>
        <v>5.2631578947368418E-2</v>
      </c>
      <c r="I19" s="6">
        <f t="shared" si="6"/>
        <v>1</v>
      </c>
      <c r="J19" s="8">
        <f t="shared" si="7"/>
        <v>5.2631578947368418E-2</v>
      </c>
      <c r="L19" s="4"/>
      <c r="M19" s="4"/>
      <c r="N19" s="3" t="s">
        <v>12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1:30" x14ac:dyDescent="0.35">
      <c r="A20">
        <v>16</v>
      </c>
      <c r="B20" t="s">
        <v>251</v>
      </c>
      <c r="C20" t="s">
        <v>252</v>
      </c>
      <c r="D20">
        <f t="shared" si="1"/>
        <v>1</v>
      </c>
      <c r="E20">
        <f t="shared" si="2"/>
        <v>1</v>
      </c>
      <c r="F20">
        <f t="shared" si="3"/>
        <v>0</v>
      </c>
      <c r="G20" s="1">
        <f t="shared" si="4"/>
        <v>1</v>
      </c>
      <c r="H20" s="1">
        <f t="shared" si="5"/>
        <v>5.2631578947368418E-2</v>
      </c>
      <c r="I20" s="6">
        <f t="shared" si="6"/>
        <v>1</v>
      </c>
      <c r="J20" s="8">
        <f t="shared" si="7"/>
        <v>5.2631578947368418E-2</v>
      </c>
      <c r="L20" s="4"/>
      <c r="M20" s="4"/>
      <c r="N20" s="3" t="s">
        <v>12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1:30" x14ac:dyDescent="0.35">
      <c r="A21">
        <v>16</v>
      </c>
      <c r="B21" t="s">
        <v>253</v>
      </c>
      <c r="C21" t="s">
        <v>254</v>
      </c>
      <c r="D21">
        <f t="shared" si="1"/>
        <v>1</v>
      </c>
      <c r="E21">
        <f t="shared" si="2"/>
        <v>1</v>
      </c>
      <c r="F21">
        <f t="shared" si="3"/>
        <v>0</v>
      </c>
      <c r="G21" s="1">
        <f t="shared" si="4"/>
        <v>1</v>
      </c>
      <c r="H21" s="1">
        <f t="shared" si="5"/>
        <v>5.2631578947368418E-2</v>
      </c>
      <c r="I21" s="6">
        <f t="shared" si="6"/>
        <v>1</v>
      </c>
      <c r="J21" s="8">
        <f t="shared" si="7"/>
        <v>5.2631578947368418E-2</v>
      </c>
      <c r="L21" s="4"/>
      <c r="M21" s="4"/>
      <c r="N21" s="3" t="s">
        <v>12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1:30" x14ac:dyDescent="0.35">
      <c r="A22">
        <v>16</v>
      </c>
      <c r="B22" t="s">
        <v>101</v>
      </c>
      <c r="C22" t="s">
        <v>29</v>
      </c>
      <c r="D22">
        <f t="shared" si="1"/>
        <v>1</v>
      </c>
      <c r="E22">
        <f t="shared" si="2"/>
        <v>1</v>
      </c>
      <c r="F22">
        <f t="shared" si="3"/>
        <v>0</v>
      </c>
      <c r="G22" s="1">
        <f t="shared" si="4"/>
        <v>1</v>
      </c>
      <c r="H22" s="1">
        <f t="shared" si="5"/>
        <v>5.2631578947368418E-2</v>
      </c>
      <c r="I22" s="6">
        <f t="shared" si="6"/>
        <v>1</v>
      </c>
      <c r="J22" s="8">
        <f t="shared" si="7"/>
        <v>5.2631578947368418E-2</v>
      </c>
      <c r="L22" s="4"/>
      <c r="M22" s="4"/>
      <c r="N22" s="4"/>
      <c r="O22" s="3"/>
      <c r="P22" s="4"/>
      <c r="Q22" s="3" t="s">
        <v>12</v>
      </c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1:30" x14ac:dyDescent="0.35">
      <c r="A23">
        <v>16</v>
      </c>
      <c r="B23" t="s">
        <v>110</v>
      </c>
      <c r="C23" t="s">
        <v>111</v>
      </c>
      <c r="D23">
        <f t="shared" si="1"/>
        <v>1</v>
      </c>
      <c r="E23">
        <f t="shared" si="2"/>
        <v>1</v>
      </c>
      <c r="F23">
        <f t="shared" si="3"/>
        <v>0</v>
      </c>
      <c r="G23" s="1">
        <f t="shared" si="4"/>
        <v>1</v>
      </c>
      <c r="H23" s="1">
        <f t="shared" si="5"/>
        <v>5.2631578947368418E-2</v>
      </c>
      <c r="I23" s="6">
        <f t="shared" si="6"/>
        <v>1</v>
      </c>
      <c r="J23" s="8">
        <f t="shared" si="7"/>
        <v>5.2631578947368418E-2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3" t="s">
        <v>12</v>
      </c>
      <c r="AC23" s="4"/>
      <c r="AD23" s="4"/>
    </row>
    <row r="24" spans="1:30" x14ac:dyDescent="0.35">
      <c r="A24">
        <v>22</v>
      </c>
      <c r="B24" t="s">
        <v>120</v>
      </c>
      <c r="C24" t="s">
        <v>64</v>
      </c>
      <c r="D24">
        <f t="shared" si="1"/>
        <v>2</v>
      </c>
      <c r="E24">
        <f t="shared" si="2"/>
        <v>1</v>
      </c>
      <c r="F24">
        <f t="shared" si="3"/>
        <v>1</v>
      </c>
      <c r="G24" s="1">
        <f t="shared" si="4"/>
        <v>0.5</v>
      </c>
      <c r="H24" s="1">
        <f t="shared" si="5"/>
        <v>0.10526315789473684</v>
      </c>
      <c r="I24" s="6">
        <f t="shared" si="6"/>
        <v>0.5</v>
      </c>
      <c r="J24" s="8">
        <f t="shared" si="7"/>
        <v>5.2631578947368418E-2</v>
      </c>
      <c r="L24" s="3" t="s">
        <v>12</v>
      </c>
      <c r="M24" s="3" t="s">
        <v>11</v>
      </c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1:30" x14ac:dyDescent="0.35">
      <c r="A25">
        <v>22</v>
      </c>
      <c r="B25" t="s">
        <v>219</v>
      </c>
      <c r="C25" t="s">
        <v>219</v>
      </c>
      <c r="D25">
        <f t="shared" si="1"/>
        <v>2</v>
      </c>
      <c r="E25">
        <f t="shared" si="2"/>
        <v>1</v>
      </c>
      <c r="F25">
        <f t="shared" si="3"/>
        <v>1</v>
      </c>
      <c r="G25" s="1">
        <f t="shared" si="4"/>
        <v>0.5</v>
      </c>
      <c r="H25" s="1">
        <f t="shared" si="5"/>
        <v>0.10526315789473684</v>
      </c>
      <c r="I25" s="6">
        <f t="shared" si="6"/>
        <v>0.5</v>
      </c>
      <c r="J25" s="8">
        <f t="shared" si="7"/>
        <v>5.2631578947368418E-2</v>
      </c>
      <c r="L25" s="4"/>
      <c r="M25" s="4"/>
      <c r="N25" s="4"/>
      <c r="O25" s="3" t="s">
        <v>11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3" t="s">
        <v>12</v>
      </c>
    </row>
    <row r="26" spans="1:30" x14ac:dyDescent="0.35">
      <c r="A26">
        <v>24</v>
      </c>
      <c r="B26" t="s">
        <v>180</v>
      </c>
      <c r="C26" t="s">
        <v>181</v>
      </c>
      <c r="D26">
        <f t="shared" si="1"/>
        <v>3</v>
      </c>
      <c r="E26">
        <f t="shared" si="2"/>
        <v>1</v>
      </c>
      <c r="F26">
        <f t="shared" si="3"/>
        <v>2</v>
      </c>
      <c r="G26" s="1">
        <f t="shared" si="4"/>
        <v>0.33333333333333331</v>
      </c>
      <c r="H26" s="1">
        <f t="shared" si="5"/>
        <v>0.15789473684210525</v>
      </c>
      <c r="I26" s="6">
        <f t="shared" si="6"/>
        <v>0.33333333333333331</v>
      </c>
      <c r="J26" s="8">
        <f t="shared" si="7"/>
        <v>5.2631578947368418E-2</v>
      </c>
      <c r="L26" s="4"/>
      <c r="M26" s="4"/>
      <c r="N26" s="4"/>
      <c r="O26" s="4"/>
      <c r="P26" s="4"/>
      <c r="Q26" s="4"/>
      <c r="R26" s="3" t="s">
        <v>12</v>
      </c>
      <c r="S26" s="4"/>
      <c r="T26" s="4"/>
      <c r="U26" s="4"/>
      <c r="V26" s="4"/>
      <c r="W26" s="4"/>
      <c r="X26" s="4"/>
      <c r="Y26" s="3" t="s">
        <v>11</v>
      </c>
      <c r="Z26" s="4"/>
      <c r="AA26" s="3" t="s">
        <v>11</v>
      </c>
      <c r="AB26" s="4"/>
      <c r="AC26" s="4"/>
      <c r="AD26" s="4"/>
    </row>
    <row r="27" spans="1:30" x14ac:dyDescent="0.35">
      <c r="A27">
        <v>25</v>
      </c>
      <c r="B27" t="s">
        <v>127</v>
      </c>
      <c r="C27" t="s">
        <v>9</v>
      </c>
      <c r="D27">
        <f t="shared" si="1"/>
        <v>4</v>
      </c>
      <c r="E27">
        <f t="shared" si="2"/>
        <v>1</v>
      </c>
      <c r="F27">
        <f t="shared" si="3"/>
        <v>3</v>
      </c>
      <c r="G27" s="1">
        <f t="shared" si="4"/>
        <v>0.25</v>
      </c>
      <c r="H27" s="1">
        <f t="shared" si="5"/>
        <v>0.21052631578947367</v>
      </c>
      <c r="I27" s="6">
        <f t="shared" si="6"/>
        <v>0.25</v>
      </c>
      <c r="J27" s="8">
        <f t="shared" si="7"/>
        <v>5.2631578947368418E-2</v>
      </c>
      <c r="L27" s="4"/>
      <c r="M27" s="4"/>
      <c r="N27" s="3" t="s">
        <v>11</v>
      </c>
      <c r="O27" s="3" t="s">
        <v>11</v>
      </c>
      <c r="P27" s="3" t="s">
        <v>11</v>
      </c>
      <c r="Q27" s="3" t="s">
        <v>12</v>
      </c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</row>
    <row r="28" spans="1:30" x14ac:dyDescent="0.35">
      <c r="A28">
        <v>25</v>
      </c>
      <c r="B28" t="s">
        <v>267</v>
      </c>
      <c r="C28" t="s">
        <v>268</v>
      </c>
      <c r="D28">
        <f t="shared" si="1"/>
        <v>4</v>
      </c>
      <c r="E28">
        <f t="shared" si="2"/>
        <v>1</v>
      </c>
      <c r="F28">
        <f t="shared" si="3"/>
        <v>3</v>
      </c>
      <c r="G28" s="1">
        <f t="shared" si="4"/>
        <v>0.25</v>
      </c>
      <c r="H28" s="1">
        <f t="shared" si="5"/>
        <v>0.21052631578947367</v>
      </c>
      <c r="I28" s="6">
        <f t="shared" si="6"/>
        <v>0.25</v>
      </c>
      <c r="J28" s="8">
        <f t="shared" si="7"/>
        <v>5.2631578947368418E-2</v>
      </c>
      <c r="L28" s="4"/>
      <c r="M28" s="4"/>
      <c r="N28" s="4"/>
      <c r="O28" s="4"/>
      <c r="P28" s="4"/>
      <c r="Q28" s="4"/>
      <c r="R28" s="4"/>
      <c r="S28" s="4"/>
      <c r="T28" s="3" t="s">
        <v>11</v>
      </c>
      <c r="U28" s="3" t="s">
        <v>12</v>
      </c>
      <c r="V28" s="4"/>
      <c r="W28" s="4"/>
      <c r="X28" s="3" t="s">
        <v>11</v>
      </c>
      <c r="Y28" s="4"/>
      <c r="Z28" s="3" t="s">
        <v>11</v>
      </c>
      <c r="AA28" s="4"/>
      <c r="AB28" s="4"/>
      <c r="AC28" s="4"/>
      <c r="AD28" s="4"/>
    </row>
    <row r="29" spans="1:30" x14ac:dyDescent="0.35">
      <c r="A29">
        <v>25</v>
      </c>
      <c r="B29" t="s">
        <v>158</v>
      </c>
      <c r="C29" t="s">
        <v>159</v>
      </c>
      <c r="D29">
        <f t="shared" si="1"/>
        <v>4</v>
      </c>
      <c r="E29">
        <f t="shared" si="2"/>
        <v>1</v>
      </c>
      <c r="F29">
        <f t="shared" si="3"/>
        <v>3</v>
      </c>
      <c r="G29" s="1">
        <f t="shared" si="4"/>
        <v>0.25</v>
      </c>
      <c r="H29" s="1">
        <f t="shared" si="5"/>
        <v>0.21052631578947367</v>
      </c>
      <c r="I29" s="6">
        <f t="shared" si="6"/>
        <v>0.25</v>
      </c>
      <c r="J29" s="8">
        <f t="shared" si="7"/>
        <v>5.2631578947368418E-2</v>
      </c>
      <c r="L29" s="3" t="s">
        <v>11</v>
      </c>
      <c r="M29" s="4"/>
      <c r="N29" s="3" t="s">
        <v>11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3" t="s">
        <v>12</v>
      </c>
      <c r="AB29" s="4"/>
      <c r="AC29" s="3" t="s">
        <v>11</v>
      </c>
      <c r="AD29" s="4"/>
    </row>
    <row r="30" spans="1:30" x14ac:dyDescent="0.35">
      <c r="A30">
        <v>28</v>
      </c>
      <c r="B30" t="s">
        <v>207</v>
      </c>
      <c r="C30" t="s">
        <v>208</v>
      </c>
      <c r="D30">
        <f t="shared" si="1"/>
        <v>5</v>
      </c>
      <c r="E30">
        <f t="shared" si="2"/>
        <v>1</v>
      </c>
      <c r="F30">
        <f t="shared" si="3"/>
        <v>4</v>
      </c>
      <c r="G30" s="1">
        <f t="shared" si="4"/>
        <v>0.2</v>
      </c>
      <c r="H30" s="1">
        <f t="shared" si="5"/>
        <v>0.26315789473684209</v>
      </c>
      <c r="I30" s="6">
        <f t="shared" si="6"/>
        <v>0.2</v>
      </c>
      <c r="J30" s="8">
        <f t="shared" si="7"/>
        <v>5.2631578947368418E-2</v>
      </c>
      <c r="L30" s="4"/>
      <c r="M30" s="4"/>
      <c r="N30" s="4"/>
      <c r="O30" s="3" t="s">
        <v>11</v>
      </c>
      <c r="P30" s="4"/>
      <c r="Q30" s="3" t="s">
        <v>11</v>
      </c>
      <c r="R30" s="3" t="s">
        <v>12</v>
      </c>
      <c r="S30" s="4"/>
      <c r="T30" s="3" t="s">
        <v>11</v>
      </c>
      <c r="U30" s="3" t="s">
        <v>11</v>
      </c>
      <c r="V30" s="4"/>
      <c r="W30" s="4"/>
      <c r="X30" s="4"/>
      <c r="Y30" s="4"/>
      <c r="Z30" s="4"/>
      <c r="AA30" s="4"/>
      <c r="AB30" s="4"/>
      <c r="AC30" s="4"/>
      <c r="AD30" s="4"/>
    </row>
    <row r="31" spans="1:30" x14ac:dyDescent="0.35">
      <c r="A31">
        <v>29</v>
      </c>
      <c r="B31" t="s">
        <v>277</v>
      </c>
      <c r="C31" t="s">
        <v>278</v>
      </c>
      <c r="D31">
        <f t="shared" si="1"/>
        <v>1</v>
      </c>
      <c r="E31">
        <f t="shared" si="2"/>
        <v>0</v>
      </c>
      <c r="F31">
        <f t="shared" si="3"/>
        <v>1</v>
      </c>
      <c r="G31" s="1">
        <f t="shared" si="4"/>
        <v>0</v>
      </c>
      <c r="H31" s="1">
        <f t="shared" si="5"/>
        <v>5.2631578947368418E-2</v>
      </c>
      <c r="I31" s="6">
        <f t="shared" si="6"/>
        <v>0</v>
      </c>
      <c r="J31" s="8">
        <f t="shared" si="7"/>
        <v>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3" t="s">
        <v>11</v>
      </c>
      <c r="Z31" s="4"/>
      <c r="AA31" s="4"/>
      <c r="AB31" s="4"/>
      <c r="AC31" s="4"/>
      <c r="AD31" s="4"/>
    </row>
    <row r="32" spans="1:30" x14ac:dyDescent="0.35">
      <c r="A32">
        <v>29</v>
      </c>
      <c r="B32" t="s">
        <v>176</v>
      </c>
      <c r="C32" t="s">
        <v>177</v>
      </c>
      <c r="D32">
        <f t="shared" si="1"/>
        <v>1</v>
      </c>
      <c r="E32">
        <f t="shared" si="2"/>
        <v>0</v>
      </c>
      <c r="F32">
        <f t="shared" si="3"/>
        <v>1</v>
      </c>
      <c r="G32" s="1">
        <f t="shared" si="4"/>
        <v>0</v>
      </c>
      <c r="H32" s="1">
        <f t="shared" si="5"/>
        <v>5.2631578947368418E-2</v>
      </c>
      <c r="I32" s="6">
        <f t="shared" si="6"/>
        <v>0</v>
      </c>
      <c r="J32" s="8">
        <f t="shared" si="7"/>
        <v>0</v>
      </c>
      <c r="L32" s="3" t="s">
        <v>11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spans="1:30" x14ac:dyDescent="0.35">
      <c r="A33">
        <v>29</v>
      </c>
      <c r="B33" t="s">
        <v>27</v>
      </c>
      <c r="C33" t="s">
        <v>124</v>
      </c>
      <c r="D33">
        <f t="shared" si="1"/>
        <v>1</v>
      </c>
      <c r="E33">
        <f t="shared" si="2"/>
        <v>0</v>
      </c>
      <c r="F33">
        <f t="shared" si="3"/>
        <v>1</v>
      </c>
      <c r="G33" s="1">
        <f t="shared" si="4"/>
        <v>0</v>
      </c>
      <c r="H33" s="1">
        <f t="shared" si="5"/>
        <v>5.2631578947368418E-2</v>
      </c>
      <c r="I33" s="6">
        <f t="shared" si="6"/>
        <v>0</v>
      </c>
      <c r="J33" s="8">
        <f t="shared" si="7"/>
        <v>0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3" t="s">
        <v>11</v>
      </c>
      <c r="AB33" s="4"/>
      <c r="AC33" s="4"/>
      <c r="AD33" s="4"/>
    </row>
    <row r="34" spans="1:30" x14ac:dyDescent="0.35">
      <c r="A34">
        <v>29</v>
      </c>
      <c r="B34" t="s">
        <v>95</v>
      </c>
      <c r="C34" t="s">
        <v>4</v>
      </c>
      <c r="D34">
        <f t="shared" si="1"/>
        <v>1</v>
      </c>
      <c r="E34">
        <f t="shared" si="2"/>
        <v>0</v>
      </c>
      <c r="F34">
        <f t="shared" si="3"/>
        <v>1</v>
      </c>
      <c r="G34" s="1">
        <f t="shared" si="4"/>
        <v>0</v>
      </c>
      <c r="H34" s="1">
        <f t="shared" si="5"/>
        <v>5.2631578947368418E-2</v>
      </c>
      <c r="I34" s="6">
        <f t="shared" si="6"/>
        <v>0</v>
      </c>
      <c r="J34" s="8">
        <f t="shared" si="7"/>
        <v>0</v>
      </c>
      <c r="L34" s="4"/>
      <c r="M34" s="4"/>
      <c r="N34" s="3" t="s">
        <v>11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</row>
    <row r="35" spans="1:30" x14ac:dyDescent="0.35">
      <c r="A35">
        <v>29</v>
      </c>
      <c r="B35" t="s">
        <v>87</v>
      </c>
      <c r="C35" t="s">
        <v>86</v>
      </c>
      <c r="D35">
        <f t="shared" si="1"/>
        <v>1</v>
      </c>
      <c r="E35">
        <f t="shared" si="2"/>
        <v>0</v>
      </c>
      <c r="F35">
        <f t="shared" si="3"/>
        <v>1</v>
      </c>
      <c r="G35" s="1">
        <f t="shared" si="4"/>
        <v>0</v>
      </c>
      <c r="H35" s="1">
        <f t="shared" si="5"/>
        <v>5.2631578947368418E-2</v>
      </c>
      <c r="I35" s="6">
        <f t="shared" si="6"/>
        <v>0</v>
      </c>
      <c r="J35" s="8">
        <f t="shared" si="7"/>
        <v>0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3" t="s">
        <v>11</v>
      </c>
      <c r="AC35" s="4"/>
      <c r="AD35" s="4"/>
    </row>
    <row r="36" spans="1:30" x14ac:dyDescent="0.35">
      <c r="A36">
        <v>34</v>
      </c>
      <c r="B36" t="s">
        <v>194</v>
      </c>
      <c r="C36" t="s">
        <v>195</v>
      </c>
      <c r="D36">
        <f t="shared" si="1"/>
        <v>2</v>
      </c>
      <c r="E36">
        <f t="shared" si="2"/>
        <v>0</v>
      </c>
      <c r="F36">
        <f t="shared" si="3"/>
        <v>2</v>
      </c>
      <c r="G36" s="1">
        <f t="shared" si="4"/>
        <v>0</v>
      </c>
      <c r="H36" s="1">
        <f t="shared" si="5"/>
        <v>0.10526315789473684</v>
      </c>
      <c r="I36" s="6">
        <f t="shared" si="6"/>
        <v>0</v>
      </c>
      <c r="J36" s="8">
        <f t="shared" si="7"/>
        <v>0</v>
      </c>
      <c r="L36" s="4"/>
      <c r="M36" s="4"/>
      <c r="N36" s="4"/>
      <c r="O36" s="4"/>
      <c r="P36" s="4"/>
      <c r="Q36" s="4"/>
      <c r="R36" s="4"/>
      <c r="S36" s="4"/>
      <c r="T36" s="3" t="s">
        <v>11</v>
      </c>
      <c r="U36" s="4"/>
      <c r="V36" s="4"/>
      <c r="W36" s="4"/>
      <c r="X36" s="3" t="s">
        <v>11</v>
      </c>
      <c r="Y36" s="4"/>
      <c r="Z36" s="4"/>
      <c r="AA36" s="4"/>
      <c r="AB36" s="4"/>
      <c r="AC36" s="4"/>
      <c r="AD36" s="4"/>
    </row>
    <row r="37" spans="1:30" x14ac:dyDescent="0.35">
      <c r="A37">
        <v>35</v>
      </c>
      <c r="B37" t="s">
        <v>88</v>
      </c>
      <c r="C37" t="s">
        <v>36</v>
      </c>
      <c r="D37">
        <f t="shared" si="1"/>
        <v>4</v>
      </c>
      <c r="E37">
        <f t="shared" si="2"/>
        <v>0</v>
      </c>
      <c r="F37">
        <f t="shared" si="3"/>
        <v>4</v>
      </c>
      <c r="G37" s="1">
        <f t="shared" si="4"/>
        <v>0</v>
      </c>
      <c r="H37" s="1">
        <f t="shared" si="5"/>
        <v>0.21052631578947367</v>
      </c>
      <c r="I37" s="6">
        <f t="shared" si="6"/>
        <v>0</v>
      </c>
      <c r="J37" s="8">
        <f t="shared" si="7"/>
        <v>0</v>
      </c>
      <c r="L37" s="3" t="s">
        <v>11</v>
      </c>
      <c r="M37" s="3" t="s">
        <v>11</v>
      </c>
      <c r="N37" s="3" t="s">
        <v>11</v>
      </c>
      <c r="O37" s="4"/>
      <c r="P37" s="3" t="s">
        <v>11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</row>
    <row r="38" spans="1:30" x14ac:dyDescent="0.35">
      <c r="D38">
        <f>SUM(D3:D37)</f>
        <v>190</v>
      </c>
      <c r="E38">
        <f>SUM(E3:E37)</f>
        <v>95</v>
      </c>
      <c r="F38">
        <f>SUM(F3:F37)</f>
        <v>95</v>
      </c>
    </row>
    <row r="39" spans="1:30" x14ac:dyDescent="0.35">
      <c r="B39" t="s">
        <v>18</v>
      </c>
      <c r="D39">
        <f>D38/10</f>
        <v>19</v>
      </c>
    </row>
    <row r="40" spans="1:30" ht="15" thickBot="1" x14ac:dyDescent="0.4"/>
    <row r="41" spans="1:30" x14ac:dyDescent="0.35">
      <c r="B41" s="169" t="s">
        <v>19</v>
      </c>
      <c r="C41" s="170"/>
      <c r="D41" s="175"/>
      <c r="G41" t="str" cm="1">
        <f t="array" ref="G41:N41">TRANSPOSE(F42:F49)</f>
        <v>Capela</v>
      </c>
      <c r="H41" t="str">
        <v>Quim</v>
      </c>
      <c r="I41" t="str">
        <v>Vieira</v>
      </c>
      <c r="J41" t="str">
        <v>Campos</v>
      </c>
      <c r="K41" t="str">
        <v>Gui Moura</v>
      </c>
      <c r="L41" t="str">
        <v>Alex</v>
      </c>
      <c r="M41" t="str">
        <v>Renato</v>
      </c>
      <c r="N41" t="str">
        <v>Edu</v>
      </c>
      <c r="P41" s="92"/>
      <c r="Q41" t="s">
        <v>263</v>
      </c>
      <c r="S41" s="93">
        <v>45908</v>
      </c>
      <c r="T41" s="194" t="s">
        <v>234</v>
      </c>
      <c r="U41" s="195"/>
      <c r="V41" s="196"/>
      <c r="X41" s="169" t="s">
        <v>15</v>
      </c>
      <c r="Y41" s="170"/>
      <c r="Z41" s="175"/>
      <c r="AA41" s="164" t="s">
        <v>280</v>
      </c>
      <c r="AB41" s="165"/>
      <c r="AC41" s="42">
        <v>5</v>
      </c>
    </row>
    <row r="42" spans="1:30" x14ac:dyDescent="0.35">
      <c r="B42" s="5">
        <v>1</v>
      </c>
      <c r="C42" s="166">
        <f t="shared" ref="C42:C60" si="8">B42/$D$39</f>
        <v>5.2631578947368418E-2</v>
      </c>
      <c r="D42" s="167"/>
      <c r="F42" t="s">
        <v>8</v>
      </c>
      <c r="G42" s="16"/>
      <c r="H42" s="14">
        <v>45936</v>
      </c>
      <c r="I42" s="14">
        <v>45992</v>
      </c>
      <c r="J42" s="14">
        <v>46020</v>
      </c>
      <c r="K42" s="15"/>
      <c r="L42" s="14">
        <v>45915</v>
      </c>
      <c r="M42" s="15"/>
      <c r="N42" s="14">
        <v>45964</v>
      </c>
      <c r="O42" s="15"/>
      <c r="P42" s="100"/>
      <c r="Q42" s="15" t="s">
        <v>262</v>
      </c>
      <c r="S42" s="94">
        <f>+S41+7</f>
        <v>45915</v>
      </c>
      <c r="T42" s="191" t="s">
        <v>236</v>
      </c>
      <c r="U42" s="192"/>
      <c r="V42" s="193"/>
      <c r="X42" s="169" t="s">
        <v>14</v>
      </c>
      <c r="Y42" s="170"/>
      <c r="Z42" s="175"/>
      <c r="AA42" s="164" t="s">
        <v>281</v>
      </c>
      <c r="AB42" s="165"/>
      <c r="AC42" s="42">
        <v>5</v>
      </c>
    </row>
    <row r="43" spans="1:30" x14ac:dyDescent="0.35">
      <c r="B43" s="5">
        <v>2</v>
      </c>
      <c r="C43" s="166">
        <f t="shared" si="8"/>
        <v>0.10526315789473684</v>
      </c>
      <c r="D43" s="167"/>
      <c r="F43" t="s">
        <v>5</v>
      </c>
      <c r="G43" s="14">
        <v>45936</v>
      </c>
      <c r="H43" s="16"/>
      <c r="I43" s="14">
        <v>45662</v>
      </c>
      <c r="J43" s="14">
        <v>45950</v>
      </c>
      <c r="K43" s="14">
        <v>45922</v>
      </c>
      <c r="L43" s="15"/>
      <c r="M43" s="14">
        <v>45985</v>
      </c>
      <c r="N43" s="15"/>
      <c r="O43" s="15"/>
      <c r="P43" s="35"/>
      <c r="Q43" s="15" t="s">
        <v>261</v>
      </c>
      <c r="S43" s="94">
        <f t="shared" ref="S43:S59" si="9">+S42+7</f>
        <v>45922</v>
      </c>
      <c r="T43" s="182" t="s">
        <v>244</v>
      </c>
      <c r="U43" s="183"/>
      <c r="V43" s="184"/>
      <c r="X43" s="169" t="s">
        <v>16</v>
      </c>
      <c r="Y43" s="170"/>
      <c r="Z43" s="175"/>
      <c r="AA43" s="164" t="s">
        <v>10</v>
      </c>
      <c r="AB43" s="165"/>
      <c r="AC43" s="32">
        <v>6</v>
      </c>
    </row>
    <row r="44" spans="1:30" x14ac:dyDescent="0.35">
      <c r="B44" s="5">
        <v>3</v>
      </c>
      <c r="C44" s="166">
        <f t="shared" si="8"/>
        <v>0.15789473684210525</v>
      </c>
      <c r="D44" s="167"/>
      <c r="F44" t="s">
        <v>7</v>
      </c>
      <c r="G44" s="14">
        <v>45992</v>
      </c>
      <c r="H44" s="14">
        <v>45662</v>
      </c>
      <c r="I44" s="16"/>
      <c r="J44" s="14">
        <v>45908</v>
      </c>
      <c r="K44" s="14">
        <v>46006</v>
      </c>
      <c r="L44" s="15"/>
      <c r="M44" s="15"/>
      <c r="N44" s="14">
        <v>46336</v>
      </c>
      <c r="O44" s="15"/>
      <c r="P44" s="101"/>
      <c r="Q44" s="15" t="s">
        <v>260</v>
      </c>
      <c r="S44" s="94">
        <f t="shared" si="9"/>
        <v>45929</v>
      </c>
      <c r="T44" s="182" t="s">
        <v>256</v>
      </c>
      <c r="U44" s="183"/>
      <c r="V44" s="184"/>
      <c r="X44" s="169" t="s">
        <v>24</v>
      </c>
      <c r="Y44" s="170"/>
      <c r="Z44" s="175"/>
      <c r="AA44" s="164" t="s">
        <v>122</v>
      </c>
      <c r="AB44" s="165"/>
      <c r="AC44" s="42">
        <v>5</v>
      </c>
    </row>
    <row r="45" spans="1:30" x14ac:dyDescent="0.35">
      <c r="B45" s="5">
        <v>4</v>
      </c>
      <c r="C45" s="166">
        <f t="shared" si="8"/>
        <v>0.21052631578947367</v>
      </c>
      <c r="D45" s="167"/>
      <c r="F45" t="s">
        <v>6</v>
      </c>
      <c r="G45" s="14">
        <v>46020</v>
      </c>
      <c r="H45" s="14">
        <v>45950</v>
      </c>
      <c r="I45" s="14">
        <v>45908</v>
      </c>
      <c r="J45" s="16"/>
      <c r="K45" s="14">
        <v>45978</v>
      </c>
      <c r="L45" s="15"/>
      <c r="M45" s="15"/>
      <c r="N45" s="14">
        <v>45669</v>
      </c>
      <c r="O45" s="15"/>
      <c r="P45" s="16"/>
      <c r="Q45" s="15" t="s">
        <v>264</v>
      </c>
      <c r="S45" s="94">
        <v>45937</v>
      </c>
      <c r="T45" s="182" t="s">
        <v>245</v>
      </c>
      <c r="U45" s="183"/>
      <c r="V45" s="184"/>
    </row>
    <row r="46" spans="1:30" ht="15" thickBot="1" x14ac:dyDescent="0.4">
      <c r="B46" s="5">
        <v>5</v>
      </c>
      <c r="C46" s="166">
        <f t="shared" si="8"/>
        <v>0.26315789473684209</v>
      </c>
      <c r="D46" s="167"/>
      <c r="F46" t="s">
        <v>122</v>
      </c>
      <c r="G46" s="15"/>
      <c r="H46" s="14">
        <v>45922</v>
      </c>
      <c r="I46" s="14">
        <v>46006</v>
      </c>
      <c r="J46" s="14">
        <v>45978</v>
      </c>
      <c r="K46" s="16"/>
      <c r="L46" s="14">
        <v>45943</v>
      </c>
      <c r="M46" s="15"/>
      <c r="N46" s="14">
        <v>45676</v>
      </c>
      <c r="O46" s="15"/>
      <c r="P46" s="15"/>
      <c r="Q46" s="15"/>
      <c r="S46" s="94">
        <f t="shared" si="9"/>
        <v>45944</v>
      </c>
      <c r="T46" s="182" t="s">
        <v>237</v>
      </c>
      <c r="U46" s="183"/>
      <c r="V46" s="184"/>
      <c r="X46" s="152" t="s">
        <v>60</v>
      </c>
      <c r="Y46" s="152"/>
      <c r="Z46" s="152"/>
      <c r="AA46" s="152"/>
      <c r="AB46" s="152"/>
      <c r="AC46" s="152"/>
    </row>
    <row r="47" spans="1:30" x14ac:dyDescent="0.35">
      <c r="B47" s="5">
        <v>6</v>
      </c>
      <c r="C47" s="166">
        <f t="shared" si="8"/>
        <v>0.31578947368421051</v>
      </c>
      <c r="D47" s="167"/>
      <c r="F47" t="s">
        <v>98</v>
      </c>
      <c r="G47" s="14">
        <v>45915</v>
      </c>
      <c r="H47" s="15"/>
      <c r="I47" s="15"/>
      <c r="J47" s="15"/>
      <c r="K47" s="14">
        <v>45943</v>
      </c>
      <c r="L47" s="16"/>
      <c r="M47" s="16">
        <v>45957</v>
      </c>
      <c r="N47" s="16">
        <v>45999</v>
      </c>
      <c r="O47" s="15"/>
      <c r="P47" s="15"/>
      <c r="Q47" s="15"/>
      <c r="S47" s="94">
        <f t="shared" si="9"/>
        <v>45951</v>
      </c>
      <c r="T47" s="182" t="s">
        <v>238</v>
      </c>
      <c r="U47" s="183"/>
      <c r="V47" s="184"/>
      <c r="X47" s="19" t="s">
        <v>61</v>
      </c>
      <c r="Y47" s="20" t="s">
        <v>63</v>
      </c>
      <c r="Z47" s="21" t="s">
        <v>1</v>
      </c>
      <c r="AA47" s="26" t="s">
        <v>62</v>
      </c>
      <c r="AB47" s="26" t="s">
        <v>63</v>
      </c>
      <c r="AC47" s="27" t="s">
        <v>1</v>
      </c>
    </row>
    <row r="48" spans="1:30" x14ac:dyDescent="0.35">
      <c r="B48" s="5">
        <v>7</v>
      </c>
      <c r="C48" s="166">
        <f t="shared" si="8"/>
        <v>0.36842105263157893</v>
      </c>
      <c r="D48" s="167"/>
      <c r="F48" t="s">
        <v>133</v>
      </c>
      <c r="G48" s="15"/>
      <c r="H48" s="14">
        <v>45985</v>
      </c>
      <c r="I48" s="15"/>
      <c r="J48" s="15"/>
      <c r="K48" s="15"/>
      <c r="L48" s="16">
        <v>45957</v>
      </c>
      <c r="M48" s="16"/>
      <c r="N48" s="14">
        <v>45929</v>
      </c>
      <c r="O48" s="15"/>
      <c r="P48" s="15"/>
      <c r="Q48" s="15"/>
      <c r="S48" s="111">
        <f t="shared" si="9"/>
        <v>45958</v>
      </c>
      <c r="T48" s="188" t="s">
        <v>239</v>
      </c>
      <c r="U48" s="189"/>
      <c r="V48" s="190"/>
      <c r="X48" s="22">
        <v>1</v>
      </c>
      <c r="Y48" t="s">
        <v>8</v>
      </c>
      <c r="Z48" s="23">
        <f t="shared" ref="Z48:Z60" si="10">+_xlfn.XLOOKUP(Y48,$C$3:$C$37,$D$3:$D$37,0,0)</f>
        <v>18</v>
      </c>
      <c r="AA48">
        <v>14</v>
      </c>
      <c r="AB48" t="s">
        <v>9</v>
      </c>
      <c r="AC48" s="29">
        <f t="shared" ref="AC48:AC49" si="11">+_xlfn.XLOOKUP(AB48,$C$3:$C$37,$D$3:$D$37,0,0)</f>
        <v>4</v>
      </c>
    </row>
    <row r="49" spans="2:29" x14ac:dyDescent="0.35">
      <c r="B49" s="5">
        <v>8</v>
      </c>
      <c r="C49" s="166">
        <f t="shared" si="8"/>
        <v>0.42105263157894735</v>
      </c>
      <c r="D49" s="167"/>
      <c r="F49" t="s">
        <v>10</v>
      </c>
      <c r="G49" s="14">
        <v>45964</v>
      </c>
      <c r="H49" s="15"/>
      <c r="I49" s="14">
        <v>46336</v>
      </c>
      <c r="J49" s="14">
        <v>45669</v>
      </c>
      <c r="K49" s="14">
        <v>45676</v>
      </c>
      <c r="L49" s="16">
        <v>45999</v>
      </c>
      <c r="M49" s="14">
        <v>45929</v>
      </c>
      <c r="N49" s="16"/>
      <c r="O49" s="15"/>
      <c r="P49" s="15"/>
      <c r="Q49" s="15"/>
      <c r="S49" s="94">
        <f t="shared" si="9"/>
        <v>45965</v>
      </c>
      <c r="T49" s="182" t="s">
        <v>257</v>
      </c>
      <c r="U49" s="183"/>
      <c r="V49" s="184"/>
      <c r="X49" s="22">
        <v>1</v>
      </c>
      <c r="Y49" t="s">
        <v>5</v>
      </c>
      <c r="Z49" s="23">
        <f t="shared" si="10"/>
        <v>18</v>
      </c>
      <c r="AA49">
        <v>14</v>
      </c>
      <c r="AB49" t="s">
        <v>36</v>
      </c>
      <c r="AC49" s="29">
        <f t="shared" si="11"/>
        <v>4</v>
      </c>
    </row>
    <row r="50" spans="2:29" x14ac:dyDescent="0.35">
      <c r="B50" s="5">
        <v>9</v>
      </c>
      <c r="C50" s="166">
        <f t="shared" si="8"/>
        <v>0.47368421052631576</v>
      </c>
      <c r="D50" s="167"/>
      <c r="G50">
        <f t="shared" ref="G50:J50" si="12">COUNTA(G42:G49)</f>
        <v>5</v>
      </c>
      <c r="H50">
        <f t="shared" si="12"/>
        <v>5</v>
      </c>
      <c r="I50">
        <f t="shared" si="12"/>
        <v>5</v>
      </c>
      <c r="J50">
        <f t="shared" si="12"/>
        <v>5</v>
      </c>
      <c r="K50">
        <f>COUNTA(K42:K49)</f>
        <v>5</v>
      </c>
      <c r="L50">
        <f t="shared" ref="L50:N50" si="13">COUNTA(L42:L49)</f>
        <v>4</v>
      </c>
      <c r="M50">
        <f t="shared" si="13"/>
        <v>3</v>
      </c>
      <c r="N50">
        <f t="shared" si="13"/>
        <v>6</v>
      </c>
      <c r="O50" s="15"/>
      <c r="P50" s="15"/>
      <c r="Q50" s="15"/>
      <c r="S50" s="94">
        <f t="shared" si="9"/>
        <v>45972</v>
      </c>
      <c r="T50" s="182" t="s">
        <v>276</v>
      </c>
      <c r="U50" s="183"/>
      <c r="V50" s="184"/>
      <c r="X50" s="22">
        <v>3</v>
      </c>
      <c r="Y50" t="s">
        <v>10</v>
      </c>
      <c r="Z50" s="23">
        <f t="shared" si="10"/>
        <v>17</v>
      </c>
      <c r="AA50">
        <v>14</v>
      </c>
      <c r="AB50" t="s">
        <v>98</v>
      </c>
      <c r="AC50" s="29">
        <f>+_xlfn.XLOOKUP(AB50,$C$3:$C$37,$D$3:$D$37,0,0)</f>
        <v>4</v>
      </c>
    </row>
    <row r="51" spans="2:29" x14ac:dyDescent="0.35">
      <c r="B51" s="5">
        <v>10</v>
      </c>
      <c r="C51" s="166">
        <f t="shared" si="8"/>
        <v>0.52631578947368418</v>
      </c>
      <c r="D51" s="167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S51" s="94">
        <f t="shared" si="9"/>
        <v>45979</v>
      </c>
      <c r="T51" s="182" t="s">
        <v>246</v>
      </c>
      <c r="U51" s="183"/>
      <c r="V51" s="184"/>
      <c r="X51" s="22">
        <v>4</v>
      </c>
      <c r="Y51" t="s">
        <v>122</v>
      </c>
      <c r="Z51" s="23">
        <f t="shared" si="10"/>
        <v>14</v>
      </c>
      <c r="AA51">
        <v>14</v>
      </c>
      <c r="AB51" t="s">
        <v>265</v>
      </c>
      <c r="AC51" s="29">
        <f>+_xlfn.XLOOKUP(AB51,$C$3:$C$37,$D$3:$D$37,0,0)</f>
        <v>4</v>
      </c>
    </row>
    <row r="52" spans="2:29" x14ac:dyDescent="0.35">
      <c r="B52" s="5">
        <v>11</v>
      </c>
      <c r="C52" s="166">
        <f t="shared" si="8"/>
        <v>0.57894736842105265</v>
      </c>
      <c r="D52" s="167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S52" s="94">
        <f t="shared" si="9"/>
        <v>45986</v>
      </c>
      <c r="T52" s="182" t="s">
        <v>247</v>
      </c>
      <c r="U52" s="183"/>
      <c r="V52" s="184"/>
      <c r="X52" s="22">
        <v>4</v>
      </c>
      <c r="Y52" t="s">
        <v>6</v>
      </c>
      <c r="Z52" s="23">
        <f t="shared" si="10"/>
        <v>14</v>
      </c>
      <c r="AA52">
        <v>14</v>
      </c>
      <c r="AB52" t="s">
        <v>268</v>
      </c>
      <c r="AC52" s="29">
        <f>+_xlfn.XLOOKUP(AB52,$C$3:$C$37,$D$3:$D$37,0,0)</f>
        <v>4</v>
      </c>
    </row>
    <row r="53" spans="2:29" x14ac:dyDescent="0.35">
      <c r="B53" s="5">
        <v>12</v>
      </c>
      <c r="C53" s="166">
        <f t="shared" si="8"/>
        <v>0.63157894736842102</v>
      </c>
      <c r="D53" s="167"/>
      <c r="G53" t="s">
        <v>8</v>
      </c>
      <c r="H53" t="s">
        <v>5</v>
      </c>
      <c r="I53" t="s">
        <v>7</v>
      </c>
      <c r="J53" t="s">
        <v>6</v>
      </c>
      <c r="K53" t="s">
        <v>122</v>
      </c>
      <c r="L53" s="112" t="s">
        <v>98</v>
      </c>
      <c r="M53" s="112" t="s">
        <v>133</v>
      </c>
      <c r="N53" t="s">
        <v>10</v>
      </c>
      <c r="S53" s="94">
        <f t="shared" si="9"/>
        <v>45993</v>
      </c>
      <c r="T53" s="182" t="s">
        <v>240</v>
      </c>
      <c r="U53" s="183"/>
      <c r="V53" s="184"/>
      <c r="X53" s="22">
        <v>6</v>
      </c>
      <c r="Y53" t="s">
        <v>107</v>
      </c>
      <c r="Z53" s="23">
        <f t="shared" si="10"/>
        <v>12</v>
      </c>
      <c r="AA53">
        <v>14</v>
      </c>
      <c r="AB53" t="s">
        <v>159</v>
      </c>
      <c r="AC53" s="29">
        <f>+_xlfn.XLOOKUP(AB53,$C$3:$C$37,$D$3:$D$37,0,0)</f>
        <v>4</v>
      </c>
    </row>
    <row r="54" spans="2:29" ht="14.5" customHeight="1" x14ac:dyDescent="0.35">
      <c r="B54" s="5">
        <v>13</v>
      </c>
      <c r="C54" s="166">
        <f t="shared" si="8"/>
        <v>0.68421052631578949</v>
      </c>
      <c r="D54" s="167"/>
      <c r="F54" t="s">
        <v>243</v>
      </c>
      <c r="G54" s="1">
        <f>3/5</f>
        <v>0.6</v>
      </c>
      <c r="H54" s="1">
        <f>4/5</f>
        <v>0.8</v>
      </c>
      <c r="I54" s="1">
        <f>3/4</f>
        <v>0.75</v>
      </c>
      <c r="J54" s="1">
        <f>3/5</f>
        <v>0.6</v>
      </c>
      <c r="K54" s="1">
        <f>2/5</f>
        <v>0.4</v>
      </c>
      <c r="L54" s="113">
        <f>1/2</f>
        <v>0.5</v>
      </c>
      <c r="M54" s="113">
        <f>0/3</f>
        <v>0</v>
      </c>
      <c r="N54" s="1">
        <f>1/5</f>
        <v>0.2</v>
      </c>
      <c r="S54" s="111">
        <f t="shared" si="9"/>
        <v>46000</v>
      </c>
      <c r="T54" s="188" t="s">
        <v>258</v>
      </c>
      <c r="U54" s="189"/>
      <c r="V54" s="190"/>
      <c r="X54" s="22">
        <v>6</v>
      </c>
      <c r="Y54" t="s">
        <v>133</v>
      </c>
      <c r="Z54" s="23">
        <f t="shared" si="10"/>
        <v>12</v>
      </c>
      <c r="AA54">
        <v>20</v>
      </c>
      <c r="AB54" t="s">
        <v>31</v>
      </c>
      <c r="AC54" s="29">
        <f t="shared" ref="AC54" si="14">+_xlfn.XLOOKUP(AB54,$C$3:$C$37,$D$3:$D$37,0,0)</f>
        <v>3</v>
      </c>
    </row>
    <row r="55" spans="2:29" x14ac:dyDescent="0.35">
      <c r="B55" s="5">
        <v>14</v>
      </c>
      <c r="C55" s="166">
        <f t="shared" si="8"/>
        <v>0.73684210526315785</v>
      </c>
      <c r="D55" s="167"/>
      <c r="L55" s="112"/>
      <c r="M55" s="112"/>
      <c r="S55" s="94">
        <f t="shared" si="9"/>
        <v>46007</v>
      </c>
      <c r="T55" s="182" t="s">
        <v>241</v>
      </c>
      <c r="U55" s="183"/>
      <c r="V55" s="184"/>
      <c r="X55" s="22">
        <v>8</v>
      </c>
      <c r="Y55" t="s">
        <v>13</v>
      </c>
      <c r="Z55" s="23">
        <f t="shared" si="10"/>
        <v>11</v>
      </c>
      <c r="AA55">
        <v>20</v>
      </c>
      <c r="AB55" t="s">
        <v>181</v>
      </c>
      <c r="AC55" s="29">
        <f>+_xlfn.XLOOKUP(AB55,$C$3:$C$37,$D$3:$D$37,0,0)</f>
        <v>3</v>
      </c>
    </row>
    <row r="56" spans="2:29" x14ac:dyDescent="0.35">
      <c r="B56" s="5">
        <v>15</v>
      </c>
      <c r="C56" s="166">
        <f t="shared" si="8"/>
        <v>0.78947368421052633</v>
      </c>
      <c r="D56" s="167"/>
      <c r="F56" t="s">
        <v>275</v>
      </c>
      <c r="G56">
        <v>0</v>
      </c>
      <c r="H56">
        <v>0</v>
      </c>
      <c r="I56">
        <v>1</v>
      </c>
      <c r="J56">
        <v>0</v>
      </c>
      <c r="K56">
        <v>0</v>
      </c>
      <c r="L56" s="112">
        <v>0</v>
      </c>
      <c r="M56" s="112">
        <v>0</v>
      </c>
      <c r="N56">
        <v>1</v>
      </c>
      <c r="S56" s="94">
        <f>+S55+14</f>
        <v>46021</v>
      </c>
      <c r="T56" s="182" t="s">
        <v>242</v>
      </c>
      <c r="U56" s="183"/>
      <c r="V56" s="184"/>
      <c r="X56" s="22">
        <v>9</v>
      </c>
      <c r="Y56" t="s">
        <v>7</v>
      </c>
      <c r="Z56" s="23">
        <f t="shared" si="10"/>
        <v>7</v>
      </c>
      <c r="AA56">
        <v>22</v>
      </c>
      <c r="AB56" t="s">
        <v>195</v>
      </c>
      <c r="AC56" s="29">
        <f>+_xlfn.XLOOKUP(AB56,$C$3:$C$37,$D$3:$D$37,0,0)</f>
        <v>2</v>
      </c>
    </row>
    <row r="57" spans="2:29" x14ac:dyDescent="0.35">
      <c r="B57" s="5">
        <v>16</v>
      </c>
      <c r="C57" s="166">
        <f t="shared" si="8"/>
        <v>0.84210526315789469</v>
      </c>
      <c r="D57" s="167"/>
      <c r="S57" s="94">
        <f t="shared" si="9"/>
        <v>46028</v>
      </c>
      <c r="T57" s="182" t="s">
        <v>279</v>
      </c>
      <c r="U57" s="183"/>
      <c r="V57" s="184"/>
      <c r="X57" s="22">
        <v>10</v>
      </c>
      <c r="Y57" t="s">
        <v>250</v>
      </c>
      <c r="Z57" s="23">
        <f t="shared" si="10"/>
        <v>5</v>
      </c>
      <c r="AA57">
        <v>22</v>
      </c>
      <c r="AB57" t="s">
        <v>64</v>
      </c>
      <c r="AC57" s="29">
        <f>+_xlfn.XLOOKUP(AB57,$C$3:$C$37,$D$3:$D$37,0,0)</f>
        <v>2</v>
      </c>
    </row>
    <row r="58" spans="2:29" x14ac:dyDescent="0.35">
      <c r="B58" s="5">
        <v>17</v>
      </c>
      <c r="C58" s="166">
        <f t="shared" si="8"/>
        <v>0.89473684210526316</v>
      </c>
      <c r="D58" s="167"/>
      <c r="S58" s="94">
        <f t="shared" si="9"/>
        <v>46035</v>
      </c>
      <c r="T58" s="182" t="s">
        <v>266</v>
      </c>
      <c r="U58" s="183"/>
      <c r="V58" s="184"/>
      <c r="X58" s="22">
        <v>10</v>
      </c>
      <c r="Y58" t="s">
        <v>217</v>
      </c>
      <c r="Z58" s="23">
        <f t="shared" si="10"/>
        <v>5</v>
      </c>
      <c r="AA58">
        <v>22</v>
      </c>
      <c r="AB58" t="s">
        <v>219</v>
      </c>
      <c r="AC58" s="29">
        <f>+_xlfn.XLOOKUP(AB58,$C$3:$C$37,$D$3:$D$37,0,0)</f>
        <v>2</v>
      </c>
    </row>
    <row r="59" spans="2:29" ht="15" thickBot="1" x14ac:dyDescent="0.4">
      <c r="B59" s="5">
        <v>18</v>
      </c>
      <c r="C59" s="166">
        <f t="shared" si="8"/>
        <v>0.94736842105263153</v>
      </c>
      <c r="D59" s="167"/>
      <c r="S59" s="105">
        <f t="shared" si="9"/>
        <v>46042</v>
      </c>
      <c r="T59" s="185" t="s">
        <v>259</v>
      </c>
      <c r="U59" s="186"/>
      <c r="V59" s="187"/>
      <c r="X59" s="22">
        <v>10</v>
      </c>
      <c r="Y59" t="s">
        <v>208</v>
      </c>
      <c r="Z59" s="23">
        <f t="shared" si="10"/>
        <v>5</v>
      </c>
      <c r="AA59">
        <v>25</v>
      </c>
      <c r="AB59" t="s">
        <v>124</v>
      </c>
      <c r="AC59" s="29">
        <f t="shared" ref="AC59:AC62" si="15">+_xlfn.XLOOKUP(AB59,$C$3:$C$37,$D$3:$D$37,0,0)</f>
        <v>1</v>
      </c>
    </row>
    <row r="60" spans="2:29" ht="15" thickBot="1" x14ac:dyDescent="0.4">
      <c r="B60" s="5">
        <v>19</v>
      </c>
      <c r="C60" s="166">
        <f t="shared" si="8"/>
        <v>1</v>
      </c>
      <c r="D60" s="167"/>
      <c r="O60" s="15"/>
      <c r="S60" s="2"/>
      <c r="T60" s="168"/>
      <c r="U60" s="168"/>
      <c r="V60" s="168"/>
      <c r="X60" s="24">
        <v>10</v>
      </c>
      <c r="Y60" s="37" t="s">
        <v>100</v>
      </c>
      <c r="Z60" s="25">
        <f t="shared" si="10"/>
        <v>5</v>
      </c>
      <c r="AA60">
        <v>25</v>
      </c>
      <c r="AB60" t="s">
        <v>177</v>
      </c>
      <c r="AC60" s="29">
        <f t="shared" si="15"/>
        <v>1</v>
      </c>
    </row>
    <row r="61" spans="2:29" x14ac:dyDescent="0.35">
      <c r="O61" s="15"/>
      <c r="AA61" s="28">
        <v>25</v>
      </c>
      <c r="AB61" t="s">
        <v>232</v>
      </c>
      <c r="AC61" s="29">
        <f t="shared" si="15"/>
        <v>1</v>
      </c>
    </row>
    <row r="62" spans="2:29" x14ac:dyDescent="0.35">
      <c r="O62" s="15"/>
      <c r="AA62" s="28">
        <v>25</v>
      </c>
      <c r="AB62" t="s">
        <v>191</v>
      </c>
      <c r="AC62" s="29">
        <f t="shared" si="15"/>
        <v>1</v>
      </c>
    </row>
    <row r="63" spans="2:29" x14ac:dyDescent="0.35">
      <c r="O63" s="15"/>
      <c r="AA63" s="28">
        <v>25</v>
      </c>
      <c r="AB63" t="s">
        <v>29</v>
      </c>
      <c r="AC63" s="29">
        <f t="shared" ref="AC63:AC69" si="16">+_xlfn.XLOOKUP(AB63,$C$3:$C$37,$D$3:$D$37,0,0)</f>
        <v>1</v>
      </c>
    </row>
    <row r="64" spans="2:29" x14ac:dyDescent="0.35">
      <c r="O64" s="15"/>
      <c r="AA64" s="28">
        <v>25</v>
      </c>
      <c r="AB64" t="s">
        <v>254</v>
      </c>
      <c r="AC64" s="29">
        <f t="shared" si="16"/>
        <v>1</v>
      </c>
    </row>
    <row r="65" spans="15:29" x14ac:dyDescent="0.35">
      <c r="O65" s="15"/>
      <c r="AA65" s="28">
        <v>25</v>
      </c>
      <c r="AB65" t="s">
        <v>4</v>
      </c>
      <c r="AC65" s="29">
        <f t="shared" si="16"/>
        <v>1</v>
      </c>
    </row>
    <row r="66" spans="15:29" x14ac:dyDescent="0.35">
      <c r="O66" s="15"/>
      <c r="AA66" s="28">
        <v>25</v>
      </c>
      <c r="AB66" t="s">
        <v>252</v>
      </c>
      <c r="AC66" s="29">
        <f t="shared" si="16"/>
        <v>1</v>
      </c>
    </row>
    <row r="67" spans="15:29" x14ac:dyDescent="0.35">
      <c r="AA67" s="28">
        <v>25</v>
      </c>
      <c r="AB67" t="s">
        <v>278</v>
      </c>
      <c r="AC67" s="29">
        <f t="shared" si="16"/>
        <v>1</v>
      </c>
    </row>
    <row r="68" spans="15:29" x14ac:dyDescent="0.35">
      <c r="AA68" s="28">
        <v>25</v>
      </c>
      <c r="AB68" t="s">
        <v>111</v>
      </c>
      <c r="AC68" s="29">
        <f t="shared" si="16"/>
        <v>1</v>
      </c>
    </row>
    <row r="69" spans="15:29" x14ac:dyDescent="0.35">
      <c r="AA69" s="30">
        <v>25</v>
      </c>
      <c r="AB69" s="31" t="s">
        <v>86</v>
      </c>
      <c r="AC69" s="32">
        <f t="shared" si="16"/>
        <v>1</v>
      </c>
    </row>
  </sheetData>
  <autoFilter ref="A2:AD2" xr:uid="{68AD86D5-C93B-45D0-87E1-EFDC070344FB}">
    <sortState xmlns:xlrd2="http://schemas.microsoft.com/office/spreadsheetml/2017/richdata2" ref="A3:AD39">
      <sortCondition ref="A2"/>
    </sortState>
  </autoFilter>
  <mergeCells count="50">
    <mergeCell ref="C42:D42"/>
    <mergeCell ref="T42:V42"/>
    <mergeCell ref="X42:Z42"/>
    <mergeCell ref="AA42:AB42"/>
    <mergeCell ref="A1:AD1"/>
    <mergeCell ref="B41:D41"/>
    <mergeCell ref="T41:V41"/>
    <mergeCell ref="X41:Z41"/>
    <mergeCell ref="AA41:AB41"/>
    <mergeCell ref="C47:D47"/>
    <mergeCell ref="T47:V47"/>
    <mergeCell ref="C43:D43"/>
    <mergeCell ref="T43:V43"/>
    <mergeCell ref="X43:Z43"/>
    <mergeCell ref="C45:D45"/>
    <mergeCell ref="T45:V45"/>
    <mergeCell ref="C46:D46"/>
    <mergeCell ref="T46:V46"/>
    <mergeCell ref="X46:AC46"/>
    <mergeCell ref="AA43:AB43"/>
    <mergeCell ref="C44:D44"/>
    <mergeCell ref="T44:V44"/>
    <mergeCell ref="X44:Z44"/>
    <mergeCell ref="AA44:AB44"/>
    <mergeCell ref="C48:D48"/>
    <mergeCell ref="T48:V48"/>
    <mergeCell ref="C49:D49"/>
    <mergeCell ref="T49:V49"/>
    <mergeCell ref="C50:D50"/>
    <mergeCell ref="T50:V50"/>
    <mergeCell ref="C51:D51"/>
    <mergeCell ref="T51:V51"/>
    <mergeCell ref="C52:D52"/>
    <mergeCell ref="T52:V52"/>
    <mergeCell ref="C53:D53"/>
    <mergeCell ref="T53:V53"/>
    <mergeCell ref="C54:D54"/>
    <mergeCell ref="T54:V54"/>
    <mergeCell ref="C55:D55"/>
    <mergeCell ref="T55:V55"/>
    <mergeCell ref="C56:D56"/>
    <mergeCell ref="T56:V56"/>
    <mergeCell ref="C60:D60"/>
    <mergeCell ref="T60:V60"/>
    <mergeCell ref="C57:D57"/>
    <mergeCell ref="T57:V57"/>
    <mergeCell ref="C58:D58"/>
    <mergeCell ref="T58:V58"/>
    <mergeCell ref="C59:D59"/>
    <mergeCell ref="T59:V59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D5399-157F-41F9-8E77-E803FD457A2A}">
  <sheetPr>
    <tabColor theme="5" tint="0.39997558519241921"/>
  </sheetPr>
  <dimension ref="A1:AD78"/>
  <sheetViews>
    <sheetView zoomScale="50" zoomScaleNormal="50" workbookViewId="0">
      <selection activeCell="AE1" sqref="AE1"/>
    </sheetView>
  </sheetViews>
  <sheetFormatPr defaultRowHeight="14.5" x14ac:dyDescent="0.35"/>
  <cols>
    <col min="1" max="1" width="8.7265625" customWidth="1"/>
    <col min="2" max="3" width="25.6328125" customWidth="1"/>
    <col min="4" max="27" width="8.7265625" customWidth="1"/>
    <col min="28" max="28" width="8.08984375" customWidth="1"/>
    <col min="29" max="30" width="8.7265625" customWidth="1"/>
  </cols>
  <sheetData>
    <row r="1" spans="1:30" ht="18.5" x14ac:dyDescent="0.45">
      <c r="A1" s="157" t="s">
        <v>307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</row>
    <row r="2" spans="1:30" x14ac:dyDescent="0.35">
      <c r="A2" t="s">
        <v>20</v>
      </c>
      <c r="B2" t="s">
        <v>0</v>
      </c>
      <c r="C2" t="s">
        <v>96</v>
      </c>
      <c r="D2" t="s">
        <v>1</v>
      </c>
      <c r="E2" t="s">
        <v>2</v>
      </c>
      <c r="F2" t="s">
        <v>17</v>
      </c>
      <c r="G2" t="s">
        <v>3</v>
      </c>
      <c r="H2" t="s">
        <v>19</v>
      </c>
      <c r="I2" t="s">
        <v>22</v>
      </c>
      <c r="J2" t="s">
        <v>21</v>
      </c>
      <c r="L2" s="15">
        <v>46091</v>
      </c>
      <c r="M2" s="15">
        <f>+L2+7</f>
        <v>46098</v>
      </c>
      <c r="N2" s="15">
        <f t="shared" ref="N2:AD2" si="0">+M2+7</f>
        <v>46105</v>
      </c>
      <c r="O2" s="15">
        <f t="shared" si="0"/>
        <v>46112</v>
      </c>
      <c r="P2" s="15">
        <f t="shared" si="0"/>
        <v>46119</v>
      </c>
      <c r="Q2" s="15">
        <f t="shared" si="0"/>
        <v>46126</v>
      </c>
      <c r="R2" s="15">
        <f t="shared" si="0"/>
        <v>46133</v>
      </c>
      <c r="S2" s="15">
        <f t="shared" si="0"/>
        <v>46140</v>
      </c>
      <c r="T2" s="15">
        <f t="shared" si="0"/>
        <v>46147</v>
      </c>
      <c r="U2" s="15">
        <f t="shared" si="0"/>
        <v>46154</v>
      </c>
      <c r="V2" s="15">
        <f t="shared" si="0"/>
        <v>46161</v>
      </c>
      <c r="W2" s="15">
        <f t="shared" si="0"/>
        <v>46168</v>
      </c>
      <c r="X2" s="15">
        <f t="shared" si="0"/>
        <v>46175</v>
      </c>
      <c r="Y2" s="15">
        <f t="shared" si="0"/>
        <v>46182</v>
      </c>
      <c r="Z2" s="15">
        <f t="shared" si="0"/>
        <v>46189</v>
      </c>
      <c r="AA2" s="15">
        <f t="shared" si="0"/>
        <v>46196</v>
      </c>
      <c r="AB2" s="15">
        <f t="shared" si="0"/>
        <v>46203</v>
      </c>
      <c r="AC2" s="15">
        <f t="shared" si="0"/>
        <v>46210</v>
      </c>
      <c r="AD2" s="15">
        <f t="shared" si="0"/>
        <v>46217</v>
      </c>
    </row>
    <row r="3" spans="1:30" x14ac:dyDescent="0.35">
      <c r="A3">
        <v>1</v>
      </c>
      <c r="B3" t="s">
        <v>90</v>
      </c>
      <c r="C3" t="s">
        <v>6</v>
      </c>
      <c r="D3">
        <f>+COUNTA(L3:AD3)</f>
        <v>8</v>
      </c>
      <c r="E3">
        <f>+COUNTIF(L3:AD3,"W")</f>
        <v>7</v>
      </c>
      <c r="F3">
        <f>+COUNTIF(L3:AD3,"L")</f>
        <v>1</v>
      </c>
      <c r="G3" s="1">
        <f>E3/D3</f>
        <v>0.875</v>
      </c>
      <c r="H3" s="1">
        <f>VLOOKUP(D3,$B$29:$C$47,2,FALSE)</f>
        <v>0.66666666666666663</v>
      </c>
      <c r="I3" s="6">
        <f>+E3/D3</f>
        <v>0.875</v>
      </c>
      <c r="J3" s="7">
        <f>I3*H3</f>
        <v>0.58333333333333326</v>
      </c>
      <c r="L3" s="4"/>
      <c r="M3" s="4"/>
      <c r="N3" s="4"/>
      <c r="O3" s="3" t="s">
        <v>12</v>
      </c>
      <c r="P3" s="3" t="s">
        <v>12</v>
      </c>
      <c r="Q3" s="3" t="s">
        <v>12</v>
      </c>
      <c r="R3" s="3" t="s">
        <v>12</v>
      </c>
      <c r="S3" s="3" t="s">
        <v>11</v>
      </c>
      <c r="T3" s="3" t="s">
        <v>12</v>
      </c>
      <c r="U3" s="3" t="s">
        <v>12</v>
      </c>
      <c r="V3" s="4"/>
      <c r="W3" s="3" t="s">
        <v>12</v>
      </c>
      <c r="X3" s="11"/>
      <c r="Y3" s="11"/>
      <c r="Z3" s="11"/>
      <c r="AA3" s="11"/>
      <c r="AB3" s="11"/>
      <c r="AC3" s="11"/>
      <c r="AD3" s="11"/>
    </row>
    <row r="4" spans="1:30" x14ac:dyDescent="0.35">
      <c r="A4">
        <v>2</v>
      </c>
      <c r="B4" t="s">
        <v>99</v>
      </c>
      <c r="C4" t="s">
        <v>100</v>
      </c>
      <c r="D4">
        <f>+COUNTA(L4:AD4)</f>
        <v>10</v>
      </c>
      <c r="E4">
        <f>+COUNTIF(L4:AD4,"W")</f>
        <v>7</v>
      </c>
      <c r="F4">
        <f>+COUNTIF(L4:AD4,"L")</f>
        <v>3</v>
      </c>
      <c r="G4" s="1">
        <f>E4/D4</f>
        <v>0.7</v>
      </c>
      <c r="H4" s="1">
        <f>VLOOKUP(D4,$B$29:$C$47,2,FALSE)</f>
        <v>0.83333333333333337</v>
      </c>
      <c r="I4" s="6">
        <f>+E4/D4</f>
        <v>0.7</v>
      </c>
      <c r="J4" s="7">
        <f>I4*H4</f>
        <v>0.58333333333333337</v>
      </c>
      <c r="L4" s="3" t="s">
        <v>11</v>
      </c>
      <c r="M4" s="3" t="s">
        <v>11</v>
      </c>
      <c r="N4" s="3" t="s">
        <v>12</v>
      </c>
      <c r="O4" s="3" t="s">
        <v>11</v>
      </c>
      <c r="P4" s="3" t="s">
        <v>12</v>
      </c>
      <c r="Q4" s="3" t="s">
        <v>12</v>
      </c>
      <c r="R4" s="3" t="s">
        <v>12</v>
      </c>
      <c r="S4" s="3" t="s">
        <v>12</v>
      </c>
      <c r="T4" s="3" t="s">
        <v>12</v>
      </c>
      <c r="U4" s="4"/>
      <c r="V4" s="4"/>
      <c r="W4" s="3" t="s">
        <v>12</v>
      </c>
      <c r="X4" s="11"/>
      <c r="Y4" s="11"/>
      <c r="Z4" s="11"/>
      <c r="AA4" s="11"/>
      <c r="AB4" s="11"/>
      <c r="AC4" s="11"/>
      <c r="AD4" s="11"/>
    </row>
    <row r="5" spans="1:30" x14ac:dyDescent="0.35">
      <c r="A5">
        <v>3</v>
      </c>
      <c r="B5" t="s">
        <v>91</v>
      </c>
      <c r="C5" t="s">
        <v>8</v>
      </c>
      <c r="D5">
        <f>+COUNTA(L5:AD5)</f>
        <v>11</v>
      </c>
      <c r="E5">
        <f>+COUNTIF(L5:AD5,"W")</f>
        <v>7</v>
      </c>
      <c r="F5">
        <f>+COUNTIF(L5:AD5,"L")</f>
        <v>4</v>
      </c>
      <c r="G5" s="1">
        <f>E5/D5</f>
        <v>0.63636363636363635</v>
      </c>
      <c r="H5" s="1">
        <f>VLOOKUP(D5,$B$29:$C$47,2,FALSE)</f>
        <v>0.91666666666666663</v>
      </c>
      <c r="I5" s="6">
        <f>+E5/D5</f>
        <v>0.63636363636363635</v>
      </c>
      <c r="J5" s="7">
        <f>I5*H5</f>
        <v>0.58333333333333326</v>
      </c>
      <c r="L5" s="3" t="s">
        <v>12</v>
      </c>
      <c r="M5" s="3" t="s">
        <v>12</v>
      </c>
      <c r="N5" s="3" t="s">
        <v>11</v>
      </c>
      <c r="O5" s="3" t="s">
        <v>12</v>
      </c>
      <c r="P5" s="3" t="s">
        <v>12</v>
      </c>
      <c r="Q5" s="3" t="s">
        <v>11</v>
      </c>
      <c r="R5" s="3" t="s">
        <v>12</v>
      </c>
      <c r="S5" s="4"/>
      <c r="T5" s="3" t="s">
        <v>11</v>
      </c>
      <c r="U5" s="3" t="s">
        <v>12</v>
      </c>
      <c r="V5" s="3" t="s">
        <v>12</v>
      </c>
      <c r="W5" s="3" t="s">
        <v>11</v>
      </c>
      <c r="X5" s="11"/>
      <c r="Y5" s="11"/>
      <c r="Z5" s="11"/>
      <c r="AA5" s="11"/>
      <c r="AB5" s="11"/>
      <c r="AC5" s="11"/>
      <c r="AD5" s="11"/>
    </row>
    <row r="6" spans="1:30" x14ac:dyDescent="0.35">
      <c r="A6">
        <v>4</v>
      </c>
      <c r="B6" t="s">
        <v>104</v>
      </c>
      <c r="C6" t="s">
        <v>107</v>
      </c>
      <c r="D6">
        <f>+COUNTA(L6:AD6)</f>
        <v>11</v>
      </c>
      <c r="E6">
        <f>+COUNTIF(L6:AD6,"W")</f>
        <v>6</v>
      </c>
      <c r="F6">
        <f>+COUNTIF(L6:AD6,"L")</f>
        <v>5</v>
      </c>
      <c r="G6" s="1">
        <f>E6/D6</f>
        <v>0.54545454545454541</v>
      </c>
      <c r="H6" s="1">
        <f>VLOOKUP(D6,$B$29:$C$47,2,FALSE)</f>
        <v>0.91666666666666663</v>
      </c>
      <c r="I6" s="6">
        <f>+E6/D6</f>
        <v>0.54545454545454541</v>
      </c>
      <c r="J6" s="7">
        <f>I6*H6</f>
        <v>0.49999999999999994</v>
      </c>
      <c r="L6" s="4"/>
      <c r="M6" s="3" t="s">
        <v>12</v>
      </c>
      <c r="N6" s="3" t="s">
        <v>11</v>
      </c>
      <c r="O6" s="3" t="s">
        <v>12</v>
      </c>
      <c r="P6" s="3" t="s">
        <v>11</v>
      </c>
      <c r="Q6" s="3" t="s">
        <v>11</v>
      </c>
      <c r="R6" s="3" t="s">
        <v>12</v>
      </c>
      <c r="S6" s="3" t="s">
        <v>12</v>
      </c>
      <c r="T6" s="3" t="s">
        <v>11</v>
      </c>
      <c r="U6" s="3" t="s">
        <v>12</v>
      </c>
      <c r="V6" s="3" t="s">
        <v>12</v>
      </c>
      <c r="W6" s="3" t="s">
        <v>11</v>
      </c>
      <c r="X6" s="11"/>
      <c r="Y6" s="11"/>
      <c r="Z6" s="11"/>
      <c r="AA6" s="11"/>
      <c r="AB6" s="11"/>
      <c r="AC6" s="11"/>
      <c r="AD6" s="11"/>
    </row>
    <row r="7" spans="1:30" x14ac:dyDescent="0.35">
      <c r="A7">
        <v>5</v>
      </c>
      <c r="B7" t="s">
        <v>89</v>
      </c>
      <c r="C7" t="s">
        <v>25</v>
      </c>
      <c r="D7">
        <f>+COUNTA(L7:AD7)</f>
        <v>7</v>
      </c>
      <c r="E7">
        <f>+COUNTIF(L7:AD7,"W")</f>
        <v>5</v>
      </c>
      <c r="F7">
        <f>+COUNTIF(L7:AD7,"L")</f>
        <v>2</v>
      </c>
      <c r="G7" s="1">
        <f>E7/D7</f>
        <v>0.7142857142857143</v>
      </c>
      <c r="H7" s="1">
        <f>VLOOKUP(D7,$B$29:$C$47,2,FALSE)</f>
        <v>0.58333333333333337</v>
      </c>
      <c r="I7" s="6">
        <f>+E7/D7</f>
        <v>0.7142857142857143</v>
      </c>
      <c r="J7" s="7">
        <f>I7*H7</f>
        <v>0.41666666666666669</v>
      </c>
      <c r="L7" s="3" t="s">
        <v>12</v>
      </c>
      <c r="M7" s="4"/>
      <c r="N7" s="4"/>
      <c r="O7" s="4"/>
      <c r="P7" s="4"/>
      <c r="Q7" s="3" t="s">
        <v>12</v>
      </c>
      <c r="R7" s="3" t="s">
        <v>12</v>
      </c>
      <c r="S7" s="3" t="s">
        <v>12</v>
      </c>
      <c r="T7" s="4"/>
      <c r="U7" s="3" t="s">
        <v>11</v>
      </c>
      <c r="V7" s="3" t="s">
        <v>12</v>
      </c>
      <c r="W7" s="3" t="s">
        <v>11</v>
      </c>
      <c r="X7" s="11"/>
      <c r="Y7" s="11"/>
      <c r="Z7" s="11"/>
      <c r="AA7" s="11"/>
      <c r="AB7" s="11"/>
      <c r="AC7" s="11"/>
      <c r="AD7" s="11"/>
    </row>
    <row r="8" spans="1:30" x14ac:dyDescent="0.35">
      <c r="A8">
        <v>6</v>
      </c>
      <c r="B8" t="s">
        <v>119</v>
      </c>
      <c r="C8" t="s">
        <v>13</v>
      </c>
      <c r="D8">
        <f>+COUNTA(L8:AD8)</f>
        <v>9</v>
      </c>
      <c r="E8">
        <f>+COUNTIF(L8:AD8,"W")</f>
        <v>5</v>
      </c>
      <c r="F8">
        <f>+COUNTIF(L8:AD8,"L")</f>
        <v>4</v>
      </c>
      <c r="G8" s="1">
        <f>E8/D8</f>
        <v>0.55555555555555558</v>
      </c>
      <c r="H8" s="1">
        <f>VLOOKUP(D8,$B$29:$C$47,2,FALSE)</f>
        <v>0.75</v>
      </c>
      <c r="I8" s="6">
        <f>+E8/D8</f>
        <v>0.55555555555555558</v>
      </c>
      <c r="J8" s="7">
        <f>I8*H8</f>
        <v>0.41666666666666669</v>
      </c>
      <c r="L8" s="4"/>
      <c r="M8" s="4"/>
      <c r="N8" s="3" t="s">
        <v>12</v>
      </c>
      <c r="O8" s="3" t="s">
        <v>12</v>
      </c>
      <c r="P8" s="4"/>
      <c r="Q8" s="3" t="s">
        <v>11</v>
      </c>
      <c r="R8" s="3" t="s">
        <v>11</v>
      </c>
      <c r="S8" s="3" t="s">
        <v>11</v>
      </c>
      <c r="T8" s="3" t="s">
        <v>12</v>
      </c>
      <c r="U8" s="3" t="s">
        <v>12</v>
      </c>
      <c r="V8" s="3" t="s">
        <v>11</v>
      </c>
      <c r="W8" s="3" t="s">
        <v>12</v>
      </c>
      <c r="X8" s="11"/>
      <c r="Y8" s="11"/>
      <c r="Z8" s="11"/>
      <c r="AA8" s="11"/>
      <c r="AB8" s="11"/>
      <c r="AC8" s="11"/>
      <c r="AD8" s="11"/>
    </row>
    <row r="9" spans="1:30" x14ac:dyDescent="0.35">
      <c r="A9">
        <v>7</v>
      </c>
      <c r="B9" t="s">
        <v>116</v>
      </c>
      <c r="C9" t="s">
        <v>5</v>
      </c>
      <c r="D9">
        <f>+COUNTA(L9:AD9)</f>
        <v>10</v>
      </c>
      <c r="E9">
        <f>+COUNTIF(L9:AD9,"W")</f>
        <v>4</v>
      </c>
      <c r="F9">
        <f>+COUNTIF(L9:AD9,"L")</f>
        <v>6</v>
      </c>
      <c r="G9" s="1">
        <f>E9/D9</f>
        <v>0.4</v>
      </c>
      <c r="H9" s="1">
        <f>VLOOKUP(D9,$B$29:$C$47,2,FALSE)</f>
        <v>0.83333333333333337</v>
      </c>
      <c r="I9" s="6">
        <f>+E9/D9</f>
        <v>0.4</v>
      </c>
      <c r="J9" s="13">
        <f>I9*H9</f>
        <v>0.33333333333333337</v>
      </c>
      <c r="L9" s="3" t="s">
        <v>11</v>
      </c>
      <c r="M9" s="3" t="s">
        <v>12</v>
      </c>
      <c r="N9" s="3" t="s">
        <v>11</v>
      </c>
      <c r="O9" s="3" t="s">
        <v>11</v>
      </c>
      <c r="P9" s="3" t="s">
        <v>11</v>
      </c>
      <c r="Q9" s="3" t="s">
        <v>11</v>
      </c>
      <c r="R9" s="3" t="s">
        <v>11</v>
      </c>
      <c r="S9" s="3" t="s">
        <v>12</v>
      </c>
      <c r="T9" s="3" t="s">
        <v>12</v>
      </c>
      <c r="U9" s="4"/>
      <c r="V9" s="4"/>
      <c r="W9" s="3" t="s">
        <v>12</v>
      </c>
      <c r="X9" s="11"/>
      <c r="Y9" s="11"/>
      <c r="Z9" s="11"/>
      <c r="AA9" s="11"/>
      <c r="AB9" s="11"/>
      <c r="AC9" s="11"/>
      <c r="AD9" s="11"/>
    </row>
    <row r="10" spans="1:30" x14ac:dyDescent="0.35">
      <c r="A10">
        <v>8</v>
      </c>
      <c r="B10" t="s">
        <v>37</v>
      </c>
      <c r="C10" t="s">
        <v>133</v>
      </c>
      <c r="D10">
        <f>+COUNTA(L10:AD10)</f>
        <v>11</v>
      </c>
      <c r="E10">
        <f>+COUNTIF(L10:AD10,"W")</f>
        <v>4</v>
      </c>
      <c r="F10">
        <f>+COUNTIF(L10:AD10,"L")</f>
        <v>7</v>
      </c>
      <c r="G10" s="1">
        <f>E10/D10</f>
        <v>0.36363636363636365</v>
      </c>
      <c r="H10" s="1">
        <f>VLOOKUP(D10,$B$29:$C$47,2,FALSE)</f>
        <v>0.91666666666666663</v>
      </c>
      <c r="I10" s="6">
        <f>+E10/D10</f>
        <v>0.36363636363636365</v>
      </c>
      <c r="J10" s="13">
        <f>I10*H10</f>
        <v>0.33333333333333331</v>
      </c>
      <c r="L10" s="3" t="s">
        <v>12</v>
      </c>
      <c r="M10" s="3" t="s">
        <v>11</v>
      </c>
      <c r="N10" s="3" t="s">
        <v>12</v>
      </c>
      <c r="O10" s="3" t="s">
        <v>11</v>
      </c>
      <c r="P10" s="4"/>
      <c r="Q10" s="3" t="s">
        <v>12</v>
      </c>
      <c r="R10" s="3" t="s">
        <v>11</v>
      </c>
      <c r="S10" s="3" t="s">
        <v>11</v>
      </c>
      <c r="T10" s="3" t="s">
        <v>11</v>
      </c>
      <c r="U10" s="3" t="s">
        <v>11</v>
      </c>
      <c r="V10" s="3" t="s">
        <v>12</v>
      </c>
      <c r="W10" s="3" t="s">
        <v>11</v>
      </c>
      <c r="X10" s="11"/>
      <c r="Y10" s="11"/>
      <c r="Z10" s="11"/>
      <c r="AA10" s="11"/>
      <c r="AB10" s="11"/>
      <c r="AC10" s="11"/>
      <c r="AD10" s="11"/>
    </row>
    <row r="11" spans="1:30" x14ac:dyDescent="0.35">
      <c r="A11">
        <v>9</v>
      </c>
      <c r="B11" t="s">
        <v>94</v>
      </c>
      <c r="C11" t="s">
        <v>7</v>
      </c>
      <c r="D11">
        <f>+COUNTA(L11:AD11)</f>
        <v>8</v>
      </c>
      <c r="E11">
        <f>+COUNTIF(L11:AD11,"W")</f>
        <v>3</v>
      </c>
      <c r="F11">
        <f>+COUNTIF(L11:AD11,"L")</f>
        <v>5</v>
      </c>
      <c r="G11" s="1">
        <f>E11/D11</f>
        <v>0.375</v>
      </c>
      <c r="H11" s="1">
        <f>VLOOKUP(D11,$B$29:$C$47,2,FALSE)</f>
        <v>0.66666666666666663</v>
      </c>
      <c r="I11" s="6">
        <f>+E11/D11</f>
        <v>0.375</v>
      </c>
      <c r="J11" s="13">
        <f>I11*H11</f>
        <v>0.25</v>
      </c>
      <c r="L11" s="3" t="s">
        <v>12</v>
      </c>
      <c r="M11" s="3" t="s">
        <v>12</v>
      </c>
      <c r="N11" s="4"/>
      <c r="O11" s="3" t="s">
        <v>11</v>
      </c>
      <c r="P11" s="3" t="s">
        <v>11</v>
      </c>
      <c r="Q11" s="4"/>
      <c r="R11" s="3" t="s">
        <v>11</v>
      </c>
      <c r="S11" s="3" t="s">
        <v>12</v>
      </c>
      <c r="T11" s="3" t="s">
        <v>11</v>
      </c>
      <c r="U11" s="4"/>
      <c r="V11" s="3" t="s">
        <v>11</v>
      </c>
      <c r="W11" s="4"/>
      <c r="X11" s="11"/>
      <c r="Y11" s="11"/>
      <c r="Z11" s="11"/>
      <c r="AA11" s="11"/>
      <c r="AB11" s="11"/>
      <c r="AC11" s="11"/>
      <c r="AD11" s="11"/>
    </row>
    <row r="12" spans="1:30" x14ac:dyDescent="0.35">
      <c r="A12">
        <v>10</v>
      </c>
      <c r="B12" t="s">
        <v>26</v>
      </c>
      <c r="C12" t="s">
        <v>122</v>
      </c>
      <c r="D12">
        <f>+COUNTA(L12:AD12)</f>
        <v>9</v>
      </c>
      <c r="E12">
        <f>+COUNTIF(L12:AD12,"W")</f>
        <v>3</v>
      </c>
      <c r="F12">
        <f>+COUNTIF(L12:AD12,"L")</f>
        <v>6</v>
      </c>
      <c r="G12" s="1">
        <f>E12/D12</f>
        <v>0.33333333333333331</v>
      </c>
      <c r="H12" s="1">
        <f>VLOOKUP(D12,$B$29:$C$47,2,FALSE)</f>
        <v>0.75</v>
      </c>
      <c r="I12" s="6">
        <f>+E12/D12</f>
        <v>0.33333333333333331</v>
      </c>
      <c r="J12" s="13">
        <f>I12*H12</f>
        <v>0.25</v>
      </c>
      <c r="L12" s="3" t="s">
        <v>11</v>
      </c>
      <c r="M12" s="3" t="s">
        <v>11</v>
      </c>
      <c r="N12" s="3" t="s">
        <v>12</v>
      </c>
      <c r="O12" s="3" t="s">
        <v>11</v>
      </c>
      <c r="P12" s="3" t="s">
        <v>11</v>
      </c>
      <c r="Q12" s="3" t="s">
        <v>12</v>
      </c>
      <c r="R12" s="3" t="s">
        <v>11</v>
      </c>
      <c r="S12" s="4"/>
      <c r="T12" s="3" t="s">
        <v>12</v>
      </c>
      <c r="U12" s="3" t="s">
        <v>11</v>
      </c>
      <c r="V12" s="4"/>
      <c r="W12" s="4"/>
      <c r="X12" s="11"/>
      <c r="Y12" s="11"/>
      <c r="Z12" s="11"/>
      <c r="AA12" s="11"/>
      <c r="AB12" s="11"/>
      <c r="AC12" s="11"/>
      <c r="AD12" s="11"/>
    </row>
    <row r="13" spans="1:30" x14ac:dyDescent="0.35">
      <c r="A13">
        <v>11</v>
      </c>
      <c r="B13" t="s">
        <v>38</v>
      </c>
      <c r="C13" t="s">
        <v>67</v>
      </c>
      <c r="D13">
        <f>+COUNTA(L13:AD13)</f>
        <v>4</v>
      </c>
      <c r="E13">
        <f>+COUNTIF(L13:AD13,"W")</f>
        <v>2</v>
      </c>
      <c r="F13">
        <f>+COUNTIF(L13:AD13,"L")</f>
        <v>2</v>
      </c>
      <c r="G13" s="1">
        <f>E13/D13</f>
        <v>0.5</v>
      </c>
      <c r="H13" s="1">
        <f>VLOOKUP(D13,$B$29:$C$47,2,FALSE)</f>
        <v>0.33333333333333331</v>
      </c>
      <c r="I13" s="6">
        <f>+E13/D13</f>
        <v>0.5</v>
      </c>
      <c r="J13" s="8">
        <f>I13*H13</f>
        <v>0.16666666666666666</v>
      </c>
      <c r="L13" s="4"/>
      <c r="M13" s="4"/>
      <c r="N13" s="4"/>
      <c r="O13" s="4"/>
      <c r="P13" s="4"/>
      <c r="Q13" s="4"/>
      <c r="R13" s="4"/>
      <c r="S13" s="3" t="s">
        <v>11</v>
      </c>
      <c r="T13" s="4"/>
      <c r="U13" s="3" t="s">
        <v>12</v>
      </c>
      <c r="V13" s="3" t="s">
        <v>11</v>
      </c>
      <c r="W13" s="3" t="s">
        <v>12</v>
      </c>
      <c r="X13" s="11"/>
      <c r="Y13" s="11"/>
      <c r="Z13" s="11"/>
      <c r="AA13" s="11"/>
      <c r="AB13" s="11"/>
      <c r="AC13" s="11"/>
      <c r="AD13" s="11"/>
    </row>
    <row r="14" spans="1:30" x14ac:dyDescent="0.35">
      <c r="A14">
        <v>12</v>
      </c>
      <c r="B14" t="s">
        <v>121</v>
      </c>
      <c r="C14" t="s">
        <v>10</v>
      </c>
      <c r="D14">
        <f>+COUNTA(L14:AD14)</f>
        <v>9</v>
      </c>
      <c r="E14">
        <f>+COUNTIF(L14:AD14,"W")</f>
        <v>2</v>
      </c>
      <c r="F14">
        <f>+COUNTIF(L14:AD14,"L")</f>
        <v>7</v>
      </c>
      <c r="G14" s="1">
        <f>E14/D14</f>
        <v>0.22222222222222221</v>
      </c>
      <c r="H14" s="1">
        <f>VLOOKUP(D14,$B$29:$C$47,2,FALSE)</f>
        <v>0.75</v>
      </c>
      <c r="I14" s="6">
        <f>+E14/D14</f>
        <v>0.22222222222222221</v>
      </c>
      <c r="J14" s="8">
        <f>I14*H14</f>
        <v>0.16666666666666666</v>
      </c>
      <c r="L14" s="4"/>
      <c r="M14" s="3" t="s">
        <v>11</v>
      </c>
      <c r="N14" s="4"/>
      <c r="O14" s="3" t="s">
        <v>12</v>
      </c>
      <c r="P14" s="3" t="s">
        <v>12</v>
      </c>
      <c r="Q14" s="3" t="s">
        <v>11</v>
      </c>
      <c r="R14" s="4"/>
      <c r="S14" s="3" t="s">
        <v>11</v>
      </c>
      <c r="T14" s="3" t="s">
        <v>11</v>
      </c>
      <c r="U14" s="3" t="s">
        <v>11</v>
      </c>
      <c r="V14" s="3" t="s">
        <v>11</v>
      </c>
      <c r="W14" s="3" t="s">
        <v>11</v>
      </c>
      <c r="X14" s="11"/>
      <c r="Y14" s="11"/>
      <c r="Z14" s="11"/>
      <c r="AA14" s="11"/>
      <c r="AB14" s="11"/>
      <c r="AC14" s="11"/>
      <c r="AD14" s="11"/>
    </row>
    <row r="15" spans="1:30" x14ac:dyDescent="0.35">
      <c r="A15">
        <v>13</v>
      </c>
      <c r="B15" t="s">
        <v>180</v>
      </c>
      <c r="C15" t="s">
        <v>181</v>
      </c>
      <c r="D15">
        <f>+COUNTA(L15:AD15)</f>
        <v>1</v>
      </c>
      <c r="E15">
        <f>+COUNTIF(L15:AD15,"W")</f>
        <v>1</v>
      </c>
      <c r="F15">
        <f>+COUNTIF(L15:AD15,"L")</f>
        <v>0</v>
      </c>
      <c r="G15" s="1">
        <f>E15/D15</f>
        <v>1</v>
      </c>
      <c r="H15" s="1">
        <f>VLOOKUP(D15,$B$29:$C$47,2,FALSE)</f>
        <v>8.3333333333333329E-2</v>
      </c>
      <c r="I15" s="6">
        <f>+E15/D15</f>
        <v>1</v>
      </c>
      <c r="J15" s="8">
        <f>I15*H15</f>
        <v>8.3333333333333329E-2</v>
      </c>
      <c r="L15" s="4"/>
      <c r="M15" s="4"/>
      <c r="N15" s="3" t="s">
        <v>12</v>
      </c>
      <c r="O15" s="4"/>
      <c r="P15" s="4"/>
      <c r="Q15" s="4"/>
      <c r="R15" s="4"/>
      <c r="S15" s="4"/>
      <c r="T15" s="4"/>
      <c r="U15" s="4"/>
      <c r="V15" s="4"/>
      <c r="W15" s="4"/>
      <c r="X15" s="11"/>
      <c r="Y15" s="11"/>
      <c r="Z15" s="11"/>
      <c r="AA15" s="11"/>
      <c r="AB15" s="11"/>
      <c r="AC15" s="11"/>
      <c r="AD15" s="11"/>
    </row>
    <row r="16" spans="1:30" x14ac:dyDescent="0.35">
      <c r="A16">
        <v>13</v>
      </c>
      <c r="B16" t="s">
        <v>324</v>
      </c>
      <c r="C16" t="s">
        <v>325</v>
      </c>
      <c r="D16">
        <f>+COUNTA(L16:AD16)</f>
        <v>1</v>
      </c>
      <c r="E16">
        <f>+COUNTIF(L16:AD16,"W")</f>
        <v>1</v>
      </c>
      <c r="F16">
        <f>+COUNTIF(L16:AD16,"L")</f>
        <v>0</v>
      </c>
      <c r="G16" s="1">
        <f>E16/D16</f>
        <v>1</v>
      </c>
      <c r="H16" s="1">
        <f>VLOOKUP(D16,$B$29:$C$47,2,FALSE)</f>
        <v>8.3333333333333329E-2</v>
      </c>
      <c r="I16" s="6">
        <f>+E16/D16</f>
        <v>1</v>
      </c>
      <c r="J16" s="8">
        <f>I16*H16</f>
        <v>8.3333333333333329E-2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3" t="s">
        <v>12</v>
      </c>
      <c r="W16" s="4"/>
      <c r="X16" s="11"/>
      <c r="Y16" s="11"/>
      <c r="Z16" s="11"/>
      <c r="AA16" s="11"/>
      <c r="AB16" s="11"/>
      <c r="AC16" s="11"/>
      <c r="AD16" s="11"/>
    </row>
    <row r="17" spans="1:30" x14ac:dyDescent="0.35">
      <c r="A17">
        <v>15</v>
      </c>
      <c r="B17" t="s">
        <v>158</v>
      </c>
      <c r="C17" t="s">
        <v>159</v>
      </c>
      <c r="D17">
        <f>+COUNTA(L17:AD17)</f>
        <v>2</v>
      </c>
      <c r="E17">
        <f>+COUNTIF(L17:AD17,"W")</f>
        <v>1</v>
      </c>
      <c r="F17">
        <f>+COUNTIF(L17:AD17,"L")</f>
        <v>1</v>
      </c>
      <c r="G17" s="1">
        <f>E17/D17</f>
        <v>0.5</v>
      </c>
      <c r="H17" s="1">
        <f>VLOOKUP(D17,$B$29:$C$47,2,FALSE)</f>
        <v>0.16666666666666666</v>
      </c>
      <c r="I17" s="6">
        <f>+E17/D17</f>
        <v>0.5</v>
      </c>
      <c r="J17" s="8">
        <f>I17*H17</f>
        <v>8.3333333333333329E-2</v>
      </c>
      <c r="L17" s="3" t="s">
        <v>12</v>
      </c>
      <c r="M17" s="4"/>
      <c r="N17" s="3" t="s">
        <v>11</v>
      </c>
      <c r="O17" s="4"/>
      <c r="P17" s="4"/>
      <c r="Q17" s="4"/>
      <c r="R17" s="4"/>
      <c r="S17" s="4"/>
      <c r="T17" s="4"/>
      <c r="U17" s="4"/>
      <c r="V17" s="4"/>
      <c r="W17" s="4"/>
      <c r="X17" s="11"/>
      <c r="Y17" s="11"/>
      <c r="Z17" s="11"/>
      <c r="AA17" s="11"/>
      <c r="AB17" s="11"/>
      <c r="AC17" s="11"/>
      <c r="AD17" s="11"/>
    </row>
    <row r="18" spans="1:30" x14ac:dyDescent="0.35">
      <c r="A18">
        <v>15</v>
      </c>
      <c r="B18" t="s">
        <v>97</v>
      </c>
      <c r="C18" t="s">
        <v>98</v>
      </c>
      <c r="D18">
        <f>+COUNTA(L18:AD18)</f>
        <v>2</v>
      </c>
      <c r="E18">
        <f>+COUNTIF(L18:AD18,"W")</f>
        <v>1</v>
      </c>
      <c r="F18">
        <f>+COUNTIF(L18:AD18,"L")</f>
        <v>1</v>
      </c>
      <c r="G18" s="1">
        <f>E18/D18</f>
        <v>0.5</v>
      </c>
      <c r="H18" s="1">
        <f>VLOOKUP(D18,$B$29:$C$47,2,FALSE)</f>
        <v>0.16666666666666666</v>
      </c>
      <c r="I18" s="6">
        <f>+E18/D18</f>
        <v>0.5</v>
      </c>
      <c r="J18" s="8">
        <f>I18*H18</f>
        <v>8.3333333333333329E-2</v>
      </c>
      <c r="L18" s="3" t="s">
        <v>11</v>
      </c>
      <c r="M18" s="3" t="s">
        <v>12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11"/>
      <c r="Y18" s="11"/>
      <c r="Z18" s="11"/>
      <c r="AA18" s="11"/>
      <c r="AB18" s="11"/>
      <c r="AC18" s="11"/>
      <c r="AD18" s="11"/>
    </row>
    <row r="19" spans="1:30" x14ac:dyDescent="0.35">
      <c r="A19">
        <v>15</v>
      </c>
      <c r="B19" t="s">
        <v>311</v>
      </c>
      <c r="C19" t="s">
        <v>265</v>
      </c>
      <c r="D19">
        <f>+COUNTA(L19:AD19)</f>
        <v>2</v>
      </c>
      <c r="E19">
        <f>+COUNTIF(L19:AD19,"W")</f>
        <v>1</v>
      </c>
      <c r="F19">
        <f>+COUNTIF(L19:AD19,"L")</f>
        <v>1</v>
      </c>
      <c r="G19" s="1">
        <f>E19/D19</f>
        <v>0.5</v>
      </c>
      <c r="H19" s="1">
        <f>VLOOKUP(D19,$B$29:$C$47,2,FALSE)</f>
        <v>0.16666666666666666</v>
      </c>
      <c r="I19" s="6">
        <f>+E19/D19</f>
        <v>0.5</v>
      </c>
      <c r="J19" s="8">
        <f>I19*H19</f>
        <v>8.3333333333333329E-2</v>
      </c>
      <c r="L19" s="4"/>
      <c r="M19" s="4"/>
      <c r="N19" s="3" t="s">
        <v>11</v>
      </c>
      <c r="O19" s="4"/>
      <c r="P19" s="3" t="s">
        <v>12</v>
      </c>
      <c r="Q19" s="4"/>
      <c r="R19" s="4"/>
      <c r="S19" s="4"/>
      <c r="T19" s="4"/>
      <c r="U19" s="4"/>
      <c r="V19" s="4"/>
      <c r="W19" s="4"/>
      <c r="X19" s="11"/>
      <c r="Y19" s="11"/>
      <c r="Z19" s="11"/>
      <c r="AA19" s="11"/>
      <c r="AB19" s="11"/>
      <c r="AC19" s="11"/>
      <c r="AD19" s="11"/>
    </row>
    <row r="20" spans="1:30" x14ac:dyDescent="0.35">
      <c r="A20">
        <v>18</v>
      </c>
      <c r="B20" t="s">
        <v>309</v>
      </c>
      <c r="C20" t="s">
        <v>310</v>
      </c>
      <c r="D20">
        <f>+COUNTA(L20:AD20)</f>
        <v>1</v>
      </c>
      <c r="E20">
        <f>+COUNTIF(L20:AD20,"W")</f>
        <v>0</v>
      </c>
      <c r="F20">
        <f>+COUNTIF(L20:AD20,"L")</f>
        <v>1</v>
      </c>
      <c r="G20" s="1">
        <f>E20/D20</f>
        <v>0</v>
      </c>
      <c r="H20" s="1">
        <f>VLOOKUP(D20,$B$29:$C$47,2,FALSE)</f>
        <v>8.3333333333333329E-2</v>
      </c>
      <c r="I20" s="6">
        <f>+E20/D20</f>
        <v>0</v>
      </c>
      <c r="J20" s="8">
        <f>I20*H20</f>
        <v>0</v>
      </c>
      <c r="L20" s="4"/>
      <c r="M20" s="3" t="s">
        <v>11</v>
      </c>
      <c r="N20" s="4"/>
      <c r="O20" s="4"/>
      <c r="P20" s="4"/>
      <c r="Q20" s="4"/>
      <c r="R20" s="4"/>
      <c r="S20" s="4"/>
      <c r="T20" s="4"/>
      <c r="U20" s="4"/>
      <c r="V20" s="4"/>
      <c r="W20" s="4"/>
      <c r="X20" s="11"/>
      <c r="Y20" s="11"/>
      <c r="Z20" s="11"/>
      <c r="AA20" s="11"/>
      <c r="AB20" s="11"/>
      <c r="AC20" s="11"/>
      <c r="AD20" s="11"/>
    </row>
    <row r="21" spans="1:30" x14ac:dyDescent="0.35">
      <c r="A21">
        <v>18</v>
      </c>
      <c r="B21" t="s">
        <v>318</v>
      </c>
      <c r="C21" t="s">
        <v>319</v>
      </c>
      <c r="D21">
        <f>+COUNTA(L21:AD21)</f>
        <v>1</v>
      </c>
      <c r="E21">
        <f>+COUNTIF(L21:AD21,"W")</f>
        <v>0</v>
      </c>
      <c r="F21">
        <f>+COUNTIF(L21:AD21,"L")</f>
        <v>1</v>
      </c>
      <c r="G21" s="1">
        <f>E21/D21</f>
        <v>0</v>
      </c>
      <c r="H21" s="1">
        <f>VLOOKUP(D21,$B$29:$C$47,2,FALSE)</f>
        <v>8.3333333333333329E-2</v>
      </c>
      <c r="I21" s="6">
        <f>+E21/D21</f>
        <v>0</v>
      </c>
      <c r="J21" s="8">
        <f>I21*H21</f>
        <v>0</v>
      </c>
      <c r="L21" s="4"/>
      <c r="M21" s="4"/>
      <c r="N21" s="4"/>
      <c r="O21" s="4"/>
      <c r="P21" s="3" t="s">
        <v>11</v>
      </c>
      <c r="Q21" s="4"/>
      <c r="R21" s="4"/>
      <c r="S21" s="4"/>
      <c r="T21" s="4"/>
      <c r="U21" s="4"/>
      <c r="V21" s="4"/>
      <c r="W21" s="4"/>
      <c r="X21" s="11"/>
      <c r="Y21" s="11"/>
      <c r="Z21" s="11"/>
      <c r="AA21" s="11"/>
      <c r="AB21" s="11"/>
      <c r="AC21" s="11"/>
      <c r="AD21" s="11"/>
    </row>
    <row r="22" spans="1:30" x14ac:dyDescent="0.35">
      <c r="A22">
        <v>18</v>
      </c>
      <c r="B22" t="s">
        <v>126</v>
      </c>
      <c r="C22" t="s">
        <v>34</v>
      </c>
      <c r="D22">
        <f>+COUNTA(L22:AD22)</f>
        <v>1</v>
      </c>
      <c r="E22">
        <f>+COUNTIF(L22:AD22,"W")</f>
        <v>0</v>
      </c>
      <c r="F22">
        <f>+COUNTIF(L22:AD22,"L")</f>
        <v>1</v>
      </c>
      <c r="G22" s="1">
        <f>E22/D22</f>
        <v>0</v>
      </c>
      <c r="H22" s="1">
        <f>VLOOKUP(D22,$B$29:$C$47,2,FALSE)</f>
        <v>8.3333333333333329E-2</v>
      </c>
      <c r="I22" s="6">
        <f>+E22/D22</f>
        <v>0</v>
      </c>
      <c r="J22" s="8">
        <f>I22*H22</f>
        <v>0</v>
      </c>
      <c r="L22" s="4"/>
      <c r="M22" s="4"/>
      <c r="N22" s="4"/>
      <c r="O22" s="4"/>
      <c r="P22" s="4"/>
      <c r="Q22" s="4"/>
      <c r="R22" s="4"/>
      <c r="S22" s="4"/>
      <c r="T22" s="4"/>
      <c r="U22" s="3" t="s">
        <v>11</v>
      </c>
      <c r="V22" s="4"/>
      <c r="W22" s="4"/>
      <c r="X22" s="11"/>
      <c r="Y22" s="11"/>
      <c r="Z22" s="11"/>
      <c r="AA22" s="11"/>
      <c r="AB22" s="11"/>
      <c r="AC22" s="11"/>
      <c r="AD22" s="11"/>
    </row>
    <row r="23" spans="1:30" x14ac:dyDescent="0.35">
      <c r="A23">
        <v>18</v>
      </c>
      <c r="B23" t="s">
        <v>88</v>
      </c>
      <c r="C23" t="s">
        <v>36</v>
      </c>
      <c r="D23">
        <f>+COUNTA(L23:AD23)</f>
        <v>1</v>
      </c>
      <c r="E23">
        <f>+COUNTIF(L23:AD23,"W")</f>
        <v>0</v>
      </c>
      <c r="F23">
        <f>+COUNTIF(L23:AD23,"L")</f>
        <v>1</v>
      </c>
      <c r="G23" s="1">
        <f>E23/D23</f>
        <v>0</v>
      </c>
      <c r="H23" s="1">
        <f>VLOOKUP(D23,$B$29:$C$47,2,FALSE)</f>
        <v>8.3333333333333329E-2</v>
      </c>
      <c r="I23" s="6">
        <f>+E23/D23</f>
        <v>0</v>
      </c>
      <c r="J23" s="8">
        <f>I23*H23</f>
        <v>0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3" t="s">
        <v>11</v>
      </c>
      <c r="W23" s="4"/>
      <c r="X23" s="11"/>
      <c r="Y23" s="11"/>
      <c r="Z23" s="11"/>
      <c r="AA23" s="11"/>
      <c r="AB23" s="11"/>
      <c r="AC23" s="11"/>
      <c r="AD23" s="11"/>
    </row>
    <row r="24" spans="1:30" x14ac:dyDescent="0.35">
      <c r="A24">
        <v>18</v>
      </c>
      <c r="B24" t="s">
        <v>216</v>
      </c>
      <c r="C24" t="s">
        <v>217</v>
      </c>
      <c r="D24">
        <f>+COUNTA(L24:AD24)</f>
        <v>1</v>
      </c>
      <c r="E24">
        <f>+COUNTIF(L24:AD24,"W")</f>
        <v>0</v>
      </c>
      <c r="F24">
        <f>+COUNTIF(L24:AD24,"L")</f>
        <v>1</v>
      </c>
      <c r="G24" s="1">
        <f>E24/D24</f>
        <v>0</v>
      </c>
      <c r="H24" s="1">
        <f>VLOOKUP(D24,$B$29:$C$47,2,FALSE)</f>
        <v>8.3333333333333329E-2</v>
      </c>
      <c r="I24" s="6">
        <f>+E24/D24</f>
        <v>0</v>
      </c>
      <c r="J24" s="8">
        <f>I24*H24</f>
        <v>0</v>
      </c>
      <c r="L24" s="3" t="s">
        <v>11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11"/>
      <c r="Y24" s="11"/>
      <c r="Z24" s="11"/>
      <c r="AA24" s="11"/>
      <c r="AB24" s="11"/>
      <c r="AC24" s="11"/>
      <c r="AD24" s="11"/>
    </row>
    <row r="25" spans="1:30" x14ac:dyDescent="0.35">
      <c r="D25">
        <f>SUM(D3:D24)</f>
        <v>120</v>
      </c>
      <c r="E25">
        <f>SUM(E3:E24)</f>
        <v>60</v>
      </c>
      <c r="F25">
        <f>SUM(F3:F24)</f>
        <v>60</v>
      </c>
    </row>
    <row r="26" spans="1:30" x14ac:dyDescent="0.35">
      <c r="B26" t="s">
        <v>18</v>
      </c>
      <c r="D26">
        <f>D25/10</f>
        <v>12</v>
      </c>
    </row>
    <row r="28" spans="1:30" x14ac:dyDescent="0.35">
      <c r="B28" s="169" t="s">
        <v>19</v>
      </c>
      <c r="C28" s="170"/>
      <c r="D28" s="175"/>
      <c r="F28" s="92"/>
      <c r="G28" t="s">
        <v>263</v>
      </c>
      <c r="S28" s="15"/>
      <c r="T28" s="168"/>
      <c r="U28" s="168"/>
      <c r="V28" s="168"/>
      <c r="X28" s="169" t="s">
        <v>15</v>
      </c>
      <c r="Y28" s="170"/>
      <c r="Z28" s="175"/>
      <c r="AA28" s="164" t="s">
        <v>117</v>
      </c>
      <c r="AB28" s="165"/>
      <c r="AC28" s="42">
        <v>6</v>
      </c>
    </row>
    <row r="29" spans="1:30" x14ac:dyDescent="0.35">
      <c r="B29" s="5">
        <v>1</v>
      </c>
      <c r="C29" s="166">
        <f t="shared" ref="C29:C47" si="1">B29/$D$26</f>
        <v>8.3333333333333329E-2</v>
      </c>
      <c r="D29" s="167"/>
      <c r="F29" s="100"/>
      <c r="G29" s="15" t="s">
        <v>262</v>
      </c>
      <c r="H29" s="15"/>
      <c r="I29" s="120"/>
      <c r="J29" s="15"/>
      <c r="K29" s="15"/>
      <c r="L29" s="15"/>
      <c r="M29" s="15"/>
      <c r="N29" s="15"/>
      <c r="O29" s="15"/>
      <c r="P29" s="15"/>
      <c r="Q29" s="15"/>
      <c r="S29" s="15"/>
      <c r="T29" s="197"/>
      <c r="U29" s="197"/>
      <c r="V29" s="197"/>
      <c r="X29" s="169" t="s">
        <v>14</v>
      </c>
      <c r="Y29" s="170"/>
      <c r="Z29" s="175"/>
      <c r="AA29" s="164" t="s">
        <v>117</v>
      </c>
      <c r="AB29" s="165"/>
      <c r="AC29" s="42">
        <v>6</v>
      </c>
    </row>
    <row r="30" spans="1:30" x14ac:dyDescent="0.35">
      <c r="B30" s="5">
        <v>2</v>
      </c>
      <c r="C30" s="166">
        <f t="shared" si="1"/>
        <v>0.16666666666666666</v>
      </c>
      <c r="D30" s="167"/>
      <c r="F30" s="35"/>
      <c r="G30" s="15" t="s">
        <v>261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S30" s="15"/>
      <c r="T30" s="168"/>
      <c r="U30" s="168"/>
      <c r="V30" s="168"/>
      <c r="X30" s="169" t="s">
        <v>16</v>
      </c>
      <c r="Y30" s="170"/>
      <c r="Z30" s="175"/>
      <c r="AA30" s="164" t="s">
        <v>10</v>
      </c>
      <c r="AB30" s="165"/>
      <c r="AC30" s="32">
        <v>6</v>
      </c>
    </row>
    <row r="31" spans="1:30" x14ac:dyDescent="0.35">
      <c r="B31" s="5">
        <v>3</v>
      </c>
      <c r="C31" s="166">
        <f t="shared" si="1"/>
        <v>0.25</v>
      </c>
      <c r="D31" s="167"/>
      <c r="F31" s="101"/>
      <c r="G31" s="15" t="s">
        <v>260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S31" s="15"/>
      <c r="T31" s="168"/>
      <c r="U31" s="168"/>
      <c r="V31" s="168"/>
      <c r="X31" s="169" t="s">
        <v>24</v>
      </c>
      <c r="Y31" s="170"/>
      <c r="Z31" s="175"/>
      <c r="AA31" s="164" t="s">
        <v>10</v>
      </c>
      <c r="AB31" s="165"/>
      <c r="AC31" s="42">
        <v>6</v>
      </c>
    </row>
    <row r="32" spans="1:30" x14ac:dyDescent="0.35">
      <c r="B32" s="5">
        <v>4</v>
      </c>
      <c r="C32" s="166">
        <f t="shared" si="1"/>
        <v>0.33333333333333331</v>
      </c>
      <c r="D32" s="167"/>
      <c r="F32" s="16"/>
      <c r="G32" s="15" t="s">
        <v>264</v>
      </c>
      <c r="H32" s="15"/>
      <c r="I32" s="15"/>
      <c r="J32" s="15"/>
      <c r="K32" s="15"/>
      <c r="L32" s="15"/>
      <c r="M32" s="15"/>
      <c r="N32" s="15"/>
      <c r="O32" s="15"/>
      <c r="P32" s="15"/>
      <c r="Q32" s="15"/>
      <c r="S32" s="15"/>
      <c r="T32" s="168"/>
      <c r="U32" s="168"/>
      <c r="V32" s="168"/>
    </row>
    <row r="33" spans="2:29" ht="15" thickBot="1" x14ac:dyDescent="0.4">
      <c r="B33" s="5">
        <v>5</v>
      </c>
      <c r="C33" s="166">
        <f t="shared" si="1"/>
        <v>0.41666666666666669</v>
      </c>
      <c r="D33" s="167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S33" s="15"/>
      <c r="T33" s="168"/>
      <c r="U33" s="168"/>
      <c r="V33" s="168"/>
      <c r="X33" s="152" t="s">
        <v>60</v>
      </c>
      <c r="Y33" s="152"/>
      <c r="Z33" s="152"/>
      <c r="AA33" s="152"/>
      <c r="AB33" s="152"/>
      <c r="AC33" s="152"/>
    </row>
    <row r="34" spans="2:29" x14ac:dyDescent="0.35">
      <c r="B34" s="5">
        <v>6</v>
      </c>
      <c r="C34" s="166">
        <f t="shared" si="1"/>
        <v>0.5</v>
      </c>
      <c r="D34" s="167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S34" s="15"/>
      <c r="T34" s="168"/>
      <c r="U34" s="168"/>
      <c r="V34" s="168"/>
      <c r="X34" s="19" t="s">
        <v>61</v>
      </c>
      <c r="Y34" s="20" t="s">
        <v>63</v>
      </c>
      <c r="Z34" s="21" t="s">
        <v>1</v>
      </c>
      <c r="AA34" s="26" t="s">
        <v>62</v>
      </c>
      <c r="AB34" s="26" t="s">
        <v>63</v>
      </c>
      <c r="AC34" s="27" t="s">
        <v>1</v>
      </c>
    </row>
    <row r="35" spans="2:29" x14ac:dyDescent="0.35">
      <c r="B35" s="5">
        <v>7</v>
      </c>
      <c r="C35" s="166">
        <f t="shared" si="1"/>
        <v>0.58333333333333337</v>
      </c>
      <c r="D35" s="167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S35" s="15"/>
      <c r="T35" s="168"/>
      <c r="U35" s="168"/>
      <c r="V35" s="168"/>
      <c r="X35" s="22">
        <v>1</v>
      </c>
      <c r="Y35" t="s">
        <v>8</v>
      </c>
      <c r="Z35" s="23">
        <f t="shared" ref="Z35:Z44" si="2">+VLOOKUP(Y35,$C$2:$D$24,2,0)</f>
        <v>11</v>
      </c>
      <c r="AA35">
        <v>11</v>
      </c>
      <c r="AB35" t="s">
        <v>25</v>
      </c>
      <c r="AC35" s="29">
        <f>+VLOOKUP(AB35,$C$2:$D$24,2,0)</f>
        <v>7</v>
      </c>
    </row>
    <row r="36" spans="2:29" x14ac:dyDescent="0.35">
      <c r="B36" s="5">
        <v>8</v>
      </c>
      <c r="C36" s="166">
        <f t="shared" si="1"/>
        <v>0.66666666666666663</v>
      </c>
      <c r="D36" s="167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S36" s="15"/>
      <c r="T36" s="168"/>
      <c r="U36" s="168"/>
      <c r="V36" s="168"/>
      <c r="X36" s="22">
        <v>1</v>
      </c>
      <c r="Y36" t="s">
        <v>133</v>
      </c>
      <c r="Z36" s="23">
        <f t="shared" si="2"/>
        <v>11</v>
      </c>
      <c r="AA36">
        <v>12</v>
      </c>
      <c r="AB36" t="s">
        <v>67</v>
      </c>
      <c r="AC36" s="29">
        <f>+VLOOKUP(AB36,$C$2:$D$24,2,0)</f>
        <v>4</v>
      </c>
    </row>
    <row r="37" spans="2:29" x14ac:dyDescent="0.35">
      <c r="B37" s="5">
        <v>9</v>
      </c>
      <c r="C37" s="166">
        <f t="shared" si="1"/>
        <v>0.75</v>
      </c>
      <c r="D37" s="167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S37" s="15"/>
      <c r="T37" s="168"/>
      <c r="U37" s="168"/>
      <c r="V37" s="168"/>
      <c r="X37" s="22">
        <v>1</v>
      </c>
      <c r="Y37" t="s">
        <v>107</v>
      </c>
      <c r="Z37" s="23">
        <f t="shared" si="2"/>
        <v>11</v>
      </c>
      <c r="AA37">
        <v>13</v>
      </c>
      <c r="AB37" t="s">
        <v>159</v>
      </c>
      <c r="AC37" s="29">
        <f>+VLOOKUP(AB37,$C$2:$D$24,2,0)</f>
        <v>2</v>
      </c>
    </row>
    <row r="38" spans="2:29" x14ac:dyDescent="0.35">
      <c r="B38" s="5">
        <v>10</v>
      </c>
      <c r="C38" s="166">
        <f t="shared" si="1"/>
        <v>0.83333333333333337</v>
      </c>
      <c r="D38" s="167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S38" s="15"/>
      <c r="T38" s="168"/>
      <c r="U38" s="168"/>
      <c r="V38" s="168"/>
      <c r="X38" s="22">
        <v>4</v>
      </c>
      <c r="Y38" t="s">
        <v>100</v>
      </c>
      <c r="Z38" s="23">
        <f t="shared" si="2"/>
        <v>10</v>
      </c>
      <c r="AA38">
        <v>13</v>
      </c>
      <c r="AB38" t="s">
        <v>98</v>
      </c>
      <c r="AC38" s="29">
        <f t="shared" ref="AC38:AC46" si="3">+VLOOKUP(AB38,$C$2:$D$24,2,0)</f>
        <v>2</v>
      </c>
    </row>
    <row r="39" spans="2:29" x14ac:dyDescent="0.35">
      <c r="B39" s="5">
        <v>11</v>
      </c>
      <c r="C39" s="166">
        <f t="shared" si="1"/>
        <v>0.91666666666666663</v>
      </c>
      <c r="D39" s="167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S39" s="15"/>
      <c r="T39" s="168"/>
      <c r="U39" s="168"/>
      <c r="V39" s="168"/>
      <c r="X39" s="22">
        <v>4</v>
      </c>
      <c r="Y39" t="s">
        <v>5</v>
      </c>
      <c r="Z39" s="23">
        <f t="shared" si="2"/>
        <v>10</v>
      </c>
      <c r="AA39">
        <v>13</v>
      </c>
      <c r="AB39" t="s">
        <v>265</v>
      </c>
      <c r="AC39" s="29">
        <f t="shared" si="3"/>
        <v>2</v>
      </c>
    </row>
    <row r="40" spans="2:29" x14ac:dyDescent="0.35">
      <c r="B40" s="5">
        <v>12</v>
      </c>
      <c r="C40" s="166">
        <f t="shared" si="1"/>
        <v>1</v>
      </c>
      <c r="D40" s="167"/>
      <c r="S40" s="15"/>
      <c r="T40" s="168"/>
      <c r="U40" s="168"/>
      <c r="V40" s="168"/>
      <c r="X40" s="22">
        <v>6</v>
      </c>
      <c r="Y40" t="s">
        <v>122</v>
      </c>
      <c r="Z40" s="23">
        <f t="shared" si="2"/>
        <v>9</v>
      </c>
      <c r="AA40">
        <v>16</v>
      </c>
      <c r="AB40" t="s">
        <v>319</v>
      </c>
      <c r="AC40" s="29">
        <f t="shared" si="3"/>
        <v>1</v>
      </c>
    </row>
    <row r="41" spans="2:29" x14ac:dyDescent="0.35">
      <c r="B41" s="5">
        <v>13</v>
      </c>
      <c r="C41" s="166">
        <f t="shared" si="1"/>
        <v>1.0833333333333333</v>
      </c>
      <c r="D41" s="167"/>
      <c r="S41" s="15"/>
      <c r="T41" s="168"/>
      <c r="U41" s="168"/>
      <c r="V41" s="168"/>
      <c r="X41" s="22">
        <v>6</v>
      </c>
      <c r="Y41" t="s">
        <v>13</v>
      </c>
      <c r="Z41" s="23">
        <f t="shared" si="2"/>
        <v>9</v>
      </c>
      <c r="AA41">
        <v>16</v>
      </c>
      <c r="AB41" t="s">
        <v>181</v>
      </c>
      <c r="AC41" s="29">
        <f t="shared" si="3"/>
        <v>1</v>
      </c>
    </row>
    <row r="42" spans="2:29" x14ac:dyDescent="0.35">
      <c r="B42" s="5">
        <v>14</v>
      </c>
      <c r="C42" s="166">
        <f t="shared" si="1"/>
        <v>1.1666666666666667</v>
      </c>
      <c r="D42" s="167"/>
      <c r="S42" s="15"/>
      <c r="T42" s="168"/>
      <c r="U42" s="168"/>
      <c r="V42" s="168"/>
      <c r="X42" s="22">
        <v>6</v>
      </c>
      <c r="Y42" t="s">
        <v>10</v>
      </c>
      <c r="Z42" s="23">
        <f t="shared" si="2"/>
        <v>9</v>
      </c>
      <c r="AA42">
        <v>16</v>
      </c>
      <c r="AB42" t="s">
        <v>310</v>
      </c>
      <c r="AC42" s="29">
        <f t="shared" si="3"/>
        <v>1</v>
      </c>
    </row>
    <row r="43" spans="2:29" x14ac:dyDescent="0.35">
      <c r="B43" s="5">
        <v>15</v>
      </c>
      <c r="C43" s="166">
        <f t="shared" si="1"/>
        <v>1.25</v>
      </c>
      <c r="D43" s="167"/>
      <c r="S43" s="15"/>
      <c r="T43" s="168"/>
      <c r="U43" s="168"/>
      <c r="V43" s="168"/>
      <c r="X43" s="22">
        <v>9</v>
      </c>
      <c r="Y43" t="s">
        <v>7</v>
      </c>
      <c r="Z43" s="23">
        <f t="shared" si="2"/>
        <v>8</v>
      </c>
      <c r="AA43">
        <v>16</v>
      </c>
      <c r="AB43" t="s">
        <v>217</v>
      </c>
      <c r="AC43" s="29">
        <f t="shared" si="3"/>
        <v>1</v>
      </c>
    </row>
    <row r="44" spans="2:29" ht="15" thickBot="1" x14ac:dyDescent="0.4">
      <c r="B44" s="5">
        <v>16</v>
      </c>
      <c r="C44" s="166">
        <f t="shared" si="1"/>
        <v>1.3333333333333333</v>
      </c>
      <c r="D44" s="167"/>
      <c r="S44" s="15"/>
      <c r="T44" s="168"/>
      <c r="U44" s="168"/>
      <c r="V44" s="168"/>
      <c r="X44" s="24">
        <v>9</v>
      </c>
      <c r="Y44" s="37" t="s">
        <v>6</v>
      </c>
      <c r="Z44" s="25">
        <f t="shared" si="2"/>
        <v>8</v>
      </c>
      <c r="AA44">
        <v>16</v>
      </c>
      <c r="AB44" t="s">
        <v>34</v>
      </c>
      <c r="AC44" s="29">
        <f t="shared" si="3"/>
        <v>1</v>
      </c>
    </row>
    <row r="45" spans="2:29" x14ac:dyDescent="0.35">
      <c r="B45" s="5">
        <v>17</v>
      </c>
      <c r="C45" s="166">
        <f t="shared" si="1"/>
        <v>1.4166666666666667</v>
      </c>
      <c r="D45" s="167"/>
      <c r="S45" s="2"/>
      <c r="T45" s="168"/>
      <c r="U45" s="168"/>
      <c r="V45" s="168"/>
      <c r="AA45" s="28">
        <v>16</v>
      </c>
      <c r="AB45" t="s">
        <v>36</v>
      </c>
      <c r="AC45" s="29">
        <f t="shared" si="3"/>
        <v>1</v>
      </c>
    </row>
    <row r="46" spans="2:29" x14ac:dyDescent="0.35">
      <c r="B46" s="5">
        <v>18</v>
      </c>
      <c r="C46" s="166">
        <f t="shared" si="1"/>
        <v>1.5</v>
      </c>
      <c r="D46" s="167"/>
      <c r="S46" s="15"/>
      <c r="T46" s="168"/>
      <c r="U46" s="168"/>
      <c r="V46" s="168"/>
      <c r="AA46" s="28">
        <v>16</v>
      </c>
      <c r="AB46" t="s">
        <v>325</v>
      </c>
      <c r="AC46" s="29">
        <f t="shared" si="3"/>
        <v>1</v>
      </c>
    </row>
    <row r="47" spans="2:29" x14ac:dyDescent="0.35">
      <c r="B47" s="5">
        <v>19</v>
      </c>
      <c r="C47" s="166">
        <f t="shared" si="1"/>
        <v>1.5833333333333333</v>
      </c>
      <c r="D47" s="167"/>
      <c r="O47" s="15"/>
      <c r="S47" s="2"/>
      <c r="T47" s="168"/>
      <c r="U47" s="168"/>
      <c r="V47" s="168"/>
      <c r="AA47" s="28"/>
      <c r="AC47" s="29"/>
    </row>
    <row r="48" spans="2:29" x14ac:dyDescent="0.35">
      <c r="O48" s="15"/>
      <c r="AA48" s="28"/>
      <c r="AC48" s="29"/>
    </row>
    <row r="49" spans="8:29" x14ac:dyDescent="0.35">
      <c r="O49" s="15"/>
      <c r="AA49" s="28"/>
      <c r="AC49" s="29"/>
    </row>
    <row r="50" spans="8:29" x14ac:dyDescent="0.35">
      <c r="O50" s="15"/>
      <c r="AA50" s="28"/>
      <c r="AC50" s="29"/>
    </row>
    <row r="51" spans="8:29" x14ac:dyDescent="0.35">
      <c r="O51" s="15"/>
      <c r="AA51" s="28"/>
      <c r="AC51" s="29"/>
    </row>
    <row r="52" spans="8:29" x14ac:dyDescent="0.35">
      <c r="O52" s="15"/>
      <c r="AA52" s="28"/>
      <c r="AC52" s="29"/>
    </row>
    <row r="53" spans="8:29" x14ac:dyDescent="0.35">
      <c r="O53" s="15"/>
      <c r="AA53" s="28"/>
      <c r="AC53" s="29"/>
    </row>
    <row r="54" spans="8:29" x14ac:dyDescent="0.35">
      <c r="O54" s="15"/>
      <c r="AA54" s="28"/>
      <c r="AC54" s="29"/>
    </row>
    <row r="55" spans="8:29" x14ac:dyDescent="0.35">
      <c r="O55" s="15"/>
      <c r="AA55" s="28"/>
      <c r="AC55" s="29"/>
    </row>
    <row r="56" spans="8:29" x14ac:dyDescent="0.35">
      <c r="O56" s="15"/>
      <c r="AA56" s="28"/>
      <c r="AC56" s="29"/>
    </row>
    <row r="57" spans="8:29" x14ac:dyDescent="0.35">
      <c r="AA57" s="28"/>
      <c r="AC57" s="29"/>
    </row>
    <row r="58" spans="8:29" x14ac:dyDescent="0.35">
      <c r="AA58" s="28"/>
      <c r="AC58" s="29"/>
    </row>
    <row r="59" spans="8:29" x14ac:dyDescent="0.35">
      <c r="AA59" s="28"/>
      <c r="AC59" s="29"/>
    </row>
    <row r="60" spans="8:29" x14ac:dyDescent="0.35"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AA60" s="28"/>
      <c r="AC60" s="29"/>
    </row>
    <row r="61" spans="8:29" x14ac:dyDescent="0.35">
      <c r="AA61" s="28"/>
      <c r="AC61" s="29"/>
    </row>
    <row r="62" spans="8:29" x14ac:dyDescent="0.35">
      <c r="AA62" s="28"/>
      <c r="AC62" s="29"/>
    </row>
    <row r="63" spans="8:29" x14ac:dyDescent="0.35">
      <c r="AA63" s="28"/>
      <c r="AC63" s="29"/>
    </row>
    <row r="64" spans="8:29" x14ac:dyDescent="0.35">
      <c r="AA64" s="28"/>
      <c r="AC64" s="29"/>
    </row>
    <row r="65" spans="4:29" x14ac:dyDescent="0.35">
      <c r="AA65" s="28"/>
      <c r="AC65" s="29"/>
    </row>
    <row r="66" spans="4:29" x14ac:dyDescent="0.35">
      <c r="AA66" s="28"/>
      <c r="AC66" s="29"/>
    </row>
    <row r="67" spans="4:29" x14ac:dyDescent="0.35">
      <c r="AA67" s="28"/>
      <c r="AC67" s="29"/>
    </row>
    <row r="68" spans="4:29" x14ac:dyDescent="0.35">
      <c r="AA68" s="28"/>
      <c r="AC68" s="29"/>
    </row>
    <row r="69" spans="4:29" x14ac:dyDescent="0.35">
      <c r="AA69" s="28"/>
      <c r="AC69" s="29"/>
    </row>
    <row r="70" spans="4:29" x14ac:dyDescent="0.35">
      <c r="AA70" s="28"/>
      <c r="AC70" s="29"/>
    </row>
    <row r="71" spans="4:29" x14ac:dyDescent="0.35">
      <c r="AA71" s="28"/>
      <c r="AC71" s="29"/>
    </row>
    <row r="72" spans="4:29" x14ac:dyDescent="0.35">
      <c r="AA72" s="30"/>
      <c r="AB72" s="31"/>
      <c r="AC72" s="32"/>
    </row>
    <row r="76" spans="4:29" x14ac:dyDescent="0.35"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8" spans="4:29" x14ac:dyDescent="0.35"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</sheetData>
  <autoFilter ref="A2:AD2" xr:uid="{7B6CF216-F103-48DC-B6F5-D76097A78343}">
    <sortState xmlns:xlrd2="http://schemas.microsoft.com/office/spreadsheetml/2017/richdata2" ref="A3:AD26">
      <sortCondition ref="A2"/>
    </sortState>
  </autoFilter>
  <mergeCells count="50">
    <mergeCell ref="C29:D29"/>
    <mergeCell ref="T29:V29"/>
    <mergeCell ref="X29:Z29"/>
    <mergeCell ref="AA29:AB29"/>
    <mergeCell ref="A1:AD1"/>
    <mergeCell ref="B28:D28"/>
    <mergeCell ref="T28:V28"/>
    <mergeCell ref="X28:Z28"/>
    <mergeCell ref="AA28:AB28"/>
    <mergeCell ref="C34:D34"/>
    <mergeCell ref="T34:V34"/>
    <mergeCell ref="C30:D30"/>
    <mergeCell ref="T30:V30"/>
    <mergeCell ref="X30:Z30"/>
    <mergeCell ref="C32:D32"/>
    <mergeCell ref="T32:V32"/>
    <mergeCell ref="C33:D33"/>
    <mergeCell ref="T33:V33"/>
    <mergeCell ref="X33:AC33"/>
    <mergeCell ref="AA30:AB30"/>
    <mergeCell ref="C31:D31"/>
    <mergeCell ref="T31:V31"/>
    <mergeCell ref="X31:Z31"/>
    <mergeCell ref="AA31:AB31"/>
    <mergeCell ref="C35:D35"/>
    <mergeCell ref="T35:V35"/>
    <mergeCell ref="C36:D36"/>
    <mergeCell ref="T36:V36"/>
    <mergeCell ref="C37:D37"/>
    <mergeCell ref="T37:V37"/>
    <mergeCell ref="C38:D38"/>
    <mergeCell ref="T38:V38"/>
    <mergeCell ref="C39:D39"/>
    <mergeCell ref="T39:V39"/>
    <mergeCell ref="C40:D40"/>
    <mergeCell ref="T40:V40"/>
    <mergeCell ref="C41:D41"/>
    <mergeCell ref="T41:V41"/>
    <mergeCell ref="C42:D42"/>
    <mergeCell ref="T42:V42"/>
    <mergeCell ref="C43:D43"/>
    <mergeCell ref="T43:V43"/>
    <mergeCell ref="C47:D47"/>
    <mergeCell ref="T47:V47"/>
    <mergeCell ref="C44:D44"/>
    <mergeCell ref="T44:V44"/>
    <mergeCell ref="C45:D45"/>
    <mergeCell ref="T45:V45"/>
    <mergeCell ref="C46:D46"/>
    <mergeCell ref="T46:V46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F1D04-4064-479D-9819-848B2B0E585A}">
  <dimension ref="A1:AD85"/>
  <sheetViews>
    <sheetView tabSelected="1" zoomScale="50" zoomScaleNormal="50" workbookViewId="0"/>
  </sheetViews>
  <sheetFormatPr defaultRowHeight="14.5" x14ac:dyDescent="0.35"/>
  <cols>
    <col min="2" max="2" width="13.08984375" customWidth="1"/>
    <col min="3" max="3" width="22.6328125" bestFit="1" customWidth="1"/>
    <col min="4" max="4" width="19.90625" bestFit="1" customWidth="1"/>
    <col min="5" max="28" width="10.6328125" customWidth="1"/>
  </cols>
  <sheetData>
    <row r="1" spans="1:30" x14ac:dyDescent="0.35">
      <c r="A1" t="s">
        <v>248</v>
      </c>
    </row>
    <row r="2" spans="1:30" ht="19" thickBot="1" x14ac:dyDescent="0.5">
      <c r="B2" s="40" t="s">
        <v>174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</row>
    <row r="3" spans="1:30" ht="19" thickBot="1" x14ac:dyDescent="0.5">
      <c r="B3" s="41" t="s">
        <v>139</v>
      </c>
      <c r="C3" s="41"/>
      <c r="D3" s="41"/>
      <c r="E3" s="53" t="s">
        <v>140</v>
      </c>
      <c r="F3" s="54"/>
      <c r="G3" s="54"/>
      <c r="H3" s="55"/>
      <c r="I3" s="56" t="s">
        <v>173</v>
      </c>
      <c r="J3" s="57"/>
      <c r="K3" s="57"/>
      <c r="L3" s="58"/>
      <c r="M3" s="53" t="s">
        <v>211</v>
      </c>
      <c r="N3" s="54"/>
      <c r="O3" s="54"/>
      <c r="P3" s="55"/>
      <c r="Q3" s="57" t="s">
        <v>235</v>
      </c>
      <c r="R3" s="57"/>
      <c r="S3" s="57"/>
      <c r="T3" s="57"/>
      <c r="U3" s="53" t="s">
        <v>308</v>
      </c>
      <c r="V3" s="54"/>
      <c r="W3" s="54"/>
      <c r="X3" s="55"/>
      <c r="Y3" s="121" t="s">
        <v>138</v>
      </c>
      <c r="Z3" s="59"/>
      <c r="AA3" s="59"/>
      <c r="AB3" s="60"/>
      <c r="AC3" s="40"/>
      <c r="AD3" s="40"/>
    </row>
    <row r="4" spans="1:30" x14ac:dyDescent="0.35">
      <c r="B4" s="69" t="s">
        <v>60</v>
      </c>
      <c r="C4" s="70" t="s">
        <v>0</v>
      </c>
      <c r="D4" s="71" t="s">
        <v>96</v>
      </c>
      <c r="E4" s="96" t="s">
        <v>1</v>
      </c>
      <c r="F4" s="73" t="s">
        <v>2</v>
      </c>
      <c r="G4" s="73" t="s">
        <v>17</v>
      </c>
      <c r="H4" s="74" t="s">
        <v>3</v>
      </c>
      <c r="I4" s="75" t="s">
        <v>1</v>
      </c>
      <c r="J4" s="76" t="s">
        <v>2</v>
      </c>
      <c r="K4" s="76" t="s">
        <v>17</v>
      </c>
      <c r="L4" s="82" t="s">
        <v>3</v>
      </c>
      <c r="M4" s="72" t="s">
        <v>1</v>
      </c>
      <c r="N4" s="73" t="s">
        <v>2</v>
      </c>
      <c r="O4" s="73" t="s">
        <v>17</v>
      </c>
      <c r="P4" s="91" t="s">
        <v>3</v>
      </c>
      <c r="Q4" s="75" t="s">
        <v>1</v>
      </c>
      <c r="R4" s="76" t="s">
        <v>2</v>
      </c>
      <c r="S4" s="76" t="s">
        <v>17</v>
      </c>
      <c r="T4" s="82" t="s">
        <v>3</v>
      </c>
      <c r="U4" s="72" t="s">
        <v>1</v>
      </c>
      <c r="V4" s="73" t="s">
        <v>2</v>
      </c>
      <c r="W4" s="73" t="s">
        <v>17</v>
      </c>
      <c r="X4" s="74" t="s">
        <v>3</v>
      </c>
      <c r="Y4" s="122" t="s">
        <v>144</v>
      </c>
      <c r="Z4" s="77" t="s">
        <v>2</v>
      </c>
      <c r="AA4" s="77" t="s">
        <v>17</v>
      </c>
      <c r="AB4" s="78" t="s">
        <v>3</v>
      </c>
      <c r="AC4" s="98" t="s">
        <v>255</v>
      </c>
    </row>
    <row r="5" spans="1:30" x14ac:dyDescent="0.35">
      <c r="B5" s="129">
        <v>1</v>
      </c>
      <c r="C5" s="130" t="s">
        <v>91</v>
      </c>
      <c r="D5" s="131" t="s">
        <v>8</v>
      </c>
      <c r="E5" s="95">
        <f>IFERROR((VLOOKUP(D5,'UCL SS'!$C$3:$D$31,2,FALSE)),0)</f>
        <v>19</v>
      </c>
      <c r="F5" s="43">
        <f>IFERROR(VLOOKUP(D5,'UCL SS'!$C$3:$E$31,3,FALSE),0)</f>
        <v>13</v>
      </c>
      <c r="G5" s="43">
        <f>IFERROR(VLOOKUP(D5,'UCL SS'!$C$3:$F$31,4,FALSE),0)</f>
        <v>6</v>
      </c>
      <c r="H5" s="64">
        <f>IFERROR(F5/E5,0)</f>
        <v>0.68421052631578949</v>
      </c>
      <c r="I5" s="67">
        <f>IFERROR(VLOOKUP(D5,'UCL WS'!$C$3:$F$35,2,FALSE),0)</f>
        <v>18</v>
      </c>
      <c r="J5" s="44">
        <f>IFERROR(VLOOKUP(D5,'UCL WS'!$C$3:$F$35,3,FALSE),0)</f>
        <v>13</v>
      </c>
      <c r="K5" s="45">
        <f>IFERROR(VLOOKUP(D5,'UCL WS'!$C$3:$F$35,4,FALSE),0)</f>
        <v>5</v>
      </c>
      <c r="L5" s="83">
        <f>IFERROR(J5/I5,0)</f>
        <v>0.72222222222222221</v>
      </c>
      <c r="M5" s="63">
        <f>IFERROR(VLOOKUP(D5,'UCL SS 2ed'!$C$3:$F$50,2,FALSE),0)</f>
        <v>18</v>
      </c>
      <c r="N5" s="43">
        <f>IFERROR(VLOOKUP(D5,'UCL SS 2ed'!$C$3:$F$50,3,FALSE),0)</f>
        <v>9</v>
      </c>
      <c r="O5" s="61">
        <f>IFERROR(VLOOKUP(D5,'UCL SS 2ed'!$C$3:$F$50,4,FALSE),0)</f>
        <v>9</v>
      </c>
      <c r="P5" s="87">
        <f>IFERROR(N5/M5,0)</f>
        <v>0.5</v>
      </c>
      <c r="Q5" s="89">
        <f>+_xlfn.XLOOKUP(D5,'UCL WS 2ed'!$C$3:$C$37,'UCL WS 2ed'!$D$3:$D$37,0,0)</f>
        <v>18</v>
      </c>
      <c r="R5" s="45">
        <f>+_xlfn.XLOOKUP(D5,'UCL WS 2ed'!$C$3:$C$37,'UCL WS 2ed'!$E$3:$E$37,0,0)</f>
        <v>10</v>
      </c>
      <c r="S5" s="45">
        <f>+_xlfn.XLOOKUP(D5,'UCL WS 2ed'!$C$3:$C$37,'UCL WS 2ed'!$F$3:$F$37,0)</f>
        <v>8</v>
      </c>
      <c r="T5" s="83">
        <f>IFERROR(R5/Q5,0)</f>
        <v>0.55555555555555558</v>
      </c>
      <c r="U5" s="63">
        <f>IFERROR(VLOOKUP(D5,'UCL SS 3ed'!$C$3:$F$24,2,FALSE),0)</f>
        <v>11</v>
      </c>
      <c r="V5" s="43">
        <f>IFERROR(VLOOKUP(D5,'UCL SS 3ed'!$C$3:$F$24,3,FALSE),0)</f>
        <v>7</v>
      </c>
      <c r="W5" s="61">
        <f>IFERROR(VLOOKUP(D5,'UCL SS 3ed'!$C$3:$F$24,4,FALSE),0)</f>
        <v>4</v>
      </c>
      <c r="X5" s="64">
        <f>IFERROR(V5/U5,0)</f>
        <v>0.63636363636363635</v>
      </c>
      <c r="Y5" s="199">
        <f>E5+I5+M5+Q5+U5</f>
        <v>84</v>
      </c>
      <c r="Z5" s="200">
        <f>F5+J5+N5+R5+V5</f>
        <v>52</v>
      </c>
      <c r="AA5" s="200">
        <f>G5+K5+O5+S5+W5</f>
        <v>32</v>
      </c>
      <c r="AB5" s="201">
        <f>Z5/Y5</f>
        <v>0.61904761904761907</v>
      </c>
    </row>
    <row r="6" spans="1:30" x14ac:dyDescent="0.35">
      <c r="B6" s="132">
        <v>2</v>
      </c>
      <c r="C6" s="133" t="s">
        <v>116</v>
      </c>
      <c r="D6" s="134" t="s">
        <v>5</v>
      </c>
      <c r="E6" s="95">
        <f>IFERROR((VLOOKUP(D6,'UCL SS'!$C$3:$D$31,2,FALSE)),0)</f>
        <v>19</v>
      </c>
      <c r="F6" s="43">
        <f>IFERROR(VLOOKUP(D6,'UCL SS'!$C$3:$E$31,3,FALSE),0)</f>
        <v>8</v>
      </c>
      <c r="G6" s="43">
        <f>IFERROR(VLOOKUP(D6,'UCL SS'!$C$3:$F$31,4,FALSE),0)</f>
        <v>11</v>
      </c>
      <c r="H6" s="64">
        <f>IFERROR(F6/E6,0)</f>
        <v>0.42105263157894735</v>
      </c>
      <c r="I6" s="67">
        <f>IFERROR(VLOOKUP(D6,'UCL WS'!$C$3:$F$35,2,FALSE),0)</f>
        <v>15</v>
      </c>
      <c r="J6" s="44">
        <f>IFERROR(VLOOKUP(D6,'UCL WS'!$C$3:$F$35,3,FALSE),0)</f>
        <v>8</v>
      </c>
      <c r="K6" s="45">
        <f>IFERROR(VLOOKUP(D6,'UCL WS'!$C$3:$F$35,4,FALSE),0)</f>
        <v>7</v>
      </c>
      <c r="L6" s="83">
        <f>IFERROR(J6/I6,0)</f>
        <v>0.53333333333333333</v>
      </c>
      <c r="M6" s="63">
        <f>IFERROR(VLOOKUP(D6,'UCL SS 2ed'!$C$3:$F$50,2,FALSE),0)</f>
        <v>19</v>
      </c>
      <c r="N6" s="43">
        <f>IFERROR(VLOOKUP(D6,'UCL SS 2ed'!$C$3:$F$50,3,FALSE),0)</f>
        <v>12</v>
      </c>
      <c r="O6" s="61">
        <f>IFERROR(VLOOKUP(D6,'UCL SS 2ed'!$C$3:$F$50,4,FALSE),0)</f>
        <v>7</v>
      </c>
      <c r="P6" s="87">
        <f>IFERROR(N6/M6,0)</f>
        <v>0.63157894736842102</v>
      </c>
      <c r="Q6" s="89">
        <f>+_xlfn.XLOOKUP(D6,'UCL WS 2ed'!$C$3:$C$37,'UCL WS 2ed'!$D$3:$D$37,0,0)</f>
        <v>18</v>
      </c>
      <c r="R6" s="45">
        <f>+_xlfn.XLOOKUP(D6,'UCL WS 2ed'!$C$3:$C$37,'UCL WS 2ed'!$E$3:$E$37,0,0)</f>
        <v>12</v>
      </c>
      <c r="S6" s="45">
        <f>+_xlfn.XLOOKUP(D6,'UCL WS 2ed'!$C$3:$C$37,'UCL WS 2ed'!$F$3:$F$37,0)</f>
        <v>6</v>
      </c>
      <c r="T6" s="83">
        <f>IFERROR(R6/Q6,0)</f>
        <v>0.66666666666666663</v>
      </c>
      <c r="U6" s="63">
        <f>IFERROR(VLOOKUP(D6,'UCL SS 3ed'!$C$3:$F$24,2,FALSE),0)</f>
        <v>10</v>
      </c>
      <c r="V6" s="43">
        <f>IFERROR(VLOOKUP(D6,'UCL SS 3ed'!$C$3:$F$24,3,FALSE),0)</f>
        <v>4</v>
      </c>
      <c r="W6" s="61">
        <f>IFERROR(VLOOKUP(D6,'UCL SS 3ed'!$C$3:$F$24,4,FALSE),0)</f>
        <v>6</v>
      </c>
      <c r="X6" s="64">
        <f>IFERROR(V6/U6,0)</f>
        <v>0.4</v>
      </c>
      <c r="Y6" s="199">
        <f>E6+I6+M6+Q6+U6</f>
        <v>81</v>
      </c>
      <c r="Z6" s="200">
        <f>F6+J6+N6+R6+V6</f>
        <v>44</v>
      </c>
      <c r="AA6" s="200">
        <f>G6+K6+O6+S6+W6</f>
        <v>37</v>
      </c>
      <c r="AB6" s="201">
        <f>Z6/Y6</f>
        <v>0.54320987654320985</v>
      </c>
    </row>
    <row r="7" spans="1:30" x14ac:dyDescent="0.35">
      <c r="B7" s="129">
        <v>3</v>
      </c>
      <c r="C7" s="130" t="s">
        <v>90</v>
      </c>
      <c r="D7" s="131" t="s">
        <v>6</v>
      </c>
      <c r="E7" s="95">
        <f>IFERROR((VLOOKUP(D7,'UCL SS'!$C$3:$D$31,2,FALSE)),0)</f>
        <v>17</v>
      </c>
      <c r="F7" s="43">
        <f>IFERROR(VLOOKUP(D7,'UCL SS'!$C$3:$E$31,3,FALSE),0)</f>
        <v>9</v>
      </c>
      <c r="G7" s="43">
        <f>IFERROR(VLOOKUP(D7,'UCL SS'!$C$3:$F$31,4,FALSE),0)</f>
        <v>8</v>
      </c>
      <c r="H7" s="64">
        <f>IFERROR(F7/E7,0)</f>
        <v>0.52941176470588236</v>
      </c>
      <c r="I7" s="67">
        <f>IFERROR(VLOOKUP(D7,'UCL WS'!$C$3:$F$35,2,FALSE),0)</f>
        <v>15</v>
      </c>
      <c r="J7" s="44">
        <f>IFERROR(VLOOKUP(D7,'UCL WS'!$C$3:$F$35,3,FALSE),0)</f>
        <v>8</v>
      </c>
      <c r="K7" s="45">
        <f>IFERROR(VLOOKUP(D7,'UCL WS'!$C$3:$F$35,4,FALSE),0)</f>
        <v>7</v>
      </c>
      <c r="L7" s="83">
        <f>IFERROR(J7/I7,0)</f>
        <v>0.53333333333333333</v>
      </c>
      <c r="M7" s="63">
        <f>IFERROR(VLOOKUP(D7,'UCL SS 2ed'!$C$3:$F$50,2,FALSE),0)</f>
        <v>9</v>
      </c>
      <c r="N7" s="43">
        <f>IFERROR(VLOOKUP(D7,'UCL SS 2ed'!$C$3:$F$50,3,FALSE),0)</f>
        <v>5</v>
      </c>
      <c r="O7" s="61">
        <f>IFERROR(VLOOKUP(D7,'UCL SS 2ed'!$C$3:$F$50,4,FALSE),0)</f>
        <v>4</v>
      </c>
      <c r="P7" s="87">
        <f>IFERROR(N7/M7,0)</f>
        <v>0.55555555555555558</v>
      </c>
      <c r="Q7" s="89">
        <f>+_xlfn.XLOOKUP(D7,'UCL WS 2ed'!$C$3:$C$37,'UCL WS 2ed'!$D$3:$D$37,0,0)</f>
        <v>14</v>
      </c>
      <c r="R7" s="45">
        <f>+_xlfn.XLOOKUP(D7,'UCL WS 2ed'!$C$3:$C$37,'UCL WS 2ed'!$E$3:$E$37,0,0)</f>
        <v>8</v>
      </c>
      <c r="S7" s="45">
        <f>+_xlfn.XLOOKUP(D7,'UCL WS 2ed'!$C$3:$C$37,'UCL WS 2ed'!$F$3:$F$37,0)</f>
        <v>6</v>
      </c>
      <c r="T7" s="83">
        <f>IFERROR(R7/Q7,0)</f>
        <v>0.5714285714285714</v>
      </c>
      <c r="U7" s="63">
        <f>IFERROR(VLOOKUP(D7,'UCL SS 3ed'!$C$3:$F$24,2,FALSE),0)</f>
        <v>8</v>
      </c>
      <c r="V7" s="43">
        <f>IFERROR(VLOOKUP(D7,'UCL SS 3ed'!$C$3:$F$24,3,FALSE),0)</f>
        <v>7</v>
      </c>
      <c r="W7" s="61">
        <f>IFERROR(VLOOKUP(D7,'UCL SS 3ed'!$C$3:$F$24,4,FALSE),0)</f>
        <v>1</v>
      </c>
      <c r="X7" s="64">
        <f>IFERROR(V7/U7,0)</f>
        <v>0.875</v>
      </c>
      <c r="Y7" s="199">
        <f>E7+I7+M7+Q7+U7</f>
        <v>63</v>
      </c>
      <c r="Z7" s="200">
        <f>F7+J7+N7+R7+V7</f>
        <v>37</v>
      </c>
      <c r="AA7" s="200">
        <f>G7+K7+O7+S7+W7</f>
        <v>26</v>
      </c>
      <c r="AB7" s="201">
        <f>Z7/Y7</f>
        <v>0.58730158730158732</v>
      </c>
    </row>
    <row r="8" spans="1:30" x14ac:dyDescent="0.35">
      <c r="B8" s="135">
        <v>4</v>
      </c>
      <c r="C8" s="136" t="s">
        <v>94</v>
      </c>
      <c r="D8" s="137" t="s">
        <v>7</v>
      </c>
      <c r="E8" s="95">
        <f>IFERROR((VLOOKUP(D8,'UCL SS'!$C$3:$D$31,2,FALSE)),0)</f>
        <v>18</v>
      </c>
      <c r="F8" s="43">
        <f>IFERROR(VLOOKUP(D8,'UCL SS'!$C$3:$E$31,3,FALSE),0)</f>
        <v>10</v>
      </c>
      <c r="G8" s="43">
        <f>IFERROR(VLOOKUP(D8,'UCL SS'!$C$3:$F$31,4,FALSE),0)</f>
        <v>8</v>
      </c>
      <c r="H8" s="64">
        <f>IFERROR(F8/E8,0)</f>
        <v>0.55555555555555558</v>
      </c>
      <c r="I8" s="67">
        <f>IFERROR(VLOOKUP(D8,'UCL WS'!$C$3:$F$35,2,FALSE),0)</f>
        <v>12</v>
      </c>
      <c r="J8" s="44">
        <f>IFERROR(VLOOKUP(D8,'UCL WS'!$C$3:$F$35,3,FALSE),0)</f>
        <v>6</v>
      </c>
      <c r="K8" s="45">
        <f>IFERROR(VLOOKUP(D8,'UCL WS'!$C$3:$F$35,4,FALSE),0)</f>
        <v>6</v>
      </c>
      <c r="L8" s="83">
        <f>IFERROR(J8/I8,0)</f>
        <v>0.5</v>
      </c>
      <c r="M8" s="63">
        <f>IFERROR(VLOOKUP(D8,'UCL SS 2ed'!$C$3:$F$50,2,FALSE),0)</f>
        <v>12</v>
      </c>
      <c r="N8" s="43">
        <f>IFERROR(VLOOKUP(D8,'UCL SS 2ed'!$C$3:$F$50,3,FALSE),0)</f>
        <v>6</v>
      </c>
      <c r="O8" s="61">
        <f>IFERROR(VLOOKUP(D8,'UCL SS 2ed'!$C$3:$F$50,4,FALSE),0)</f>
        <v>6</v>
      </c>
      <c r="P8" s="87">
        <f>IFERROR(N8/M8,0)</f>
        <v>0.5</v>
      </c>
      <c r="Q8" s="89">
        <f>+_xlfn.XLOOKUP(D8,'UCL WS 2ed'!$C$3:$C$37,'UCL WS 2ed'!$D$3:$D$37,0,0)</f>
        <v>7</v>
      </c>
      <c r="R8" s="45">
        <f>+_xlfn.XLOOKUP(D8,'UCL WS 2ed'!$C$3:$C$37,'UCL WS 2ed'!$E$3:$E$37,0,0)</f>
        <v>4</v>
      </c>
      <c r="S8" s="45">
        <f>+_xlfn.XLOOKUP(D8,'UCL WS 2ed'!$C$3:$C$37,'UCL WS 2ed'!$F$3:$F$37,0)</f>
        <v>3</v>
      </c>
      <c r="T8" s="83">
        <f>IFERROR(R8/Q8,0)</f>
        <v>0.5714285714285714</v>
      </c>
      <c r="U8" s="63">
        <f>IFERROR(VLOOKUP(D8,'UCL SS 3ed'!$C$3:$F$24,2,FALSE),0)</f>
        <v>8</v>
      </c>
      <c r="V8" s="43">
        <f>IFERROR(VLOOKUP(D8,'UCL SS 3ed'!$C$3:$F$24,3,FALSE),0)</f>
        <v>3</v>
      </c>
      <c r="W8" s="61">
        <f>IFERROR(VLOOKUP(D8,'UCL SS 3ed'!$C$3:$F$24,4,FALSE),0)</f>
        <v>5</v>
      </c>
      <c r="X8" s="64">
        <f>IFERROR(V8/U8,0)</f>
        <v>0.375</v>
      </c>
      <c r="Y8" s="199">
        <f>E8+I8+M8+Q8+U8</f>
        <v>57</v>
      </c>
      <c r="Z8" s="200">
        <f>F8+J8+N8+R8+V8</f>
        <v>29</v>
      </c>
      <c r="AA8" s="200">
        <f>G8+K8+O8+S8+W8</f>
        <v>28</v>
      </c>
      <c r="AB8" s="201">
        <f>Z8/Y8</f>
        <v>0.50877192982456143</v>
      </c>
    </row>
    <row r="9" spans="1:30" x14ac:dyDescent="0.35">
      <c r="B9" s="129">
        <v>5</v>
      </c>
      <c r="C9" s="130" t="s">
        <v>26</v>
      </c>
      <c r="D9" s="131" t="s">
        <v>122</v>
      </c>
      <c r="E9" s="95">
        <f>IFERROR((VLOOKUP(D9,'UCL SS'!$C$3:$D$31,2,FALSE)),0)</f>
        <v>8</v>
      </c>
      <c r="F9" s="43">
        <f>IFERROR(VLOOKUP(D9,'UCL SS'!$C$3:$E$31,3,FALSE),0)</f>
        <v>4</v>
      </c>
      <c r="G9" s="43">
        <f>IFERROR(VLOOKUP(D9,'UCL SS'!$C$3:$F$31,4,FALSE),0)</f>
        <v>4</v>
      </c>
      <c r="H9" s="64">
        <f>IFERROR(F9/E9,0)</f>
        <v>0.5</v>
      </c>
      <c r="I9" s="67">
        <f>IFERROR(VLOOKUP(D9,'UCL WS'!$C$3:$F$35,2,FALSE),0)</f>
        <v>8</v>
      </c>
      <c r="J9" s="44">
        <f>IFERROR(VLOOKUP(D9,'UCL WS'!$C$3:$F$35,3,FALSE),0)</f>
        <v>3</v>
      </c>
      <c r="K9" s="45">
        <f>IFERROR(VLOOKUP(D9,'UCL WS'!$C$3:$F$35,4,FALSE),0)</f>
        <v>5</v>
      </c>
      <c r="L9" s="83">
        <f>IFERROR(J9/I9,0)</f>
        <v>0.375</v>
      </c>
      <c r="M9" s="63">
        <f>IFERROR(VLOOKUP(D9,'UCL SS 2ed'!$C$3:$F$50,2,FALSE),0)</f>
        <v>11</v>
      </c>
      <c r="N9" s="43">
        <f>IFERROR(VLOOKUP(D9,'UCL SS 2ed'!$C$3:$F$50,3,FALSE),0)</f>
        <v>2</v>
      </c>
      <c r="O9" s="61">
        <f>IFERROR(VLOOKUP(D9,'UCL SS 2ed'!$C$3:$F$50,4,FALSE),0)</f>
        <v>9</v>
      </c>
      <c r="P9" s="87">
        <f>IFERROR(N9/M9,0)</f>
        <v>0.18181818181818182</v>
      </c>
      <c r="Q9" s="89">
        <f>+_xlfn.XLOOKUP(D9,'UCL WS 2ed'!$C$3:$C$37,'UCL WS 2ed'!$D$3:$D$37,0,0)</f>
        <v>14</v>
      </c>
      <c r="R9" s="45">
        <f>+_xlfn.XLOOKUP(D9,'UCL WS 2ed'!$C$3:$C$37,'UCL WS 2ed'!$E$3:$E$37,0,0)</f>
        <v>6</v>
      </c>
      <c r="S9" s="45">
        <f>+_xlfn.XLOOKUP(D9,'UCL WS 2ed'!$C$3:$C$37,'UCL WS 2ed'!$F$3:$F$37,0)</f>
        <v>8</v>
      </c>
      <c r="T9" s="83">
        <f>IFERROR(R9/Q9,0)</f>
        <v>0.42857142857142855</v>
      </c>
      <c r="U9" s="63">
        <f>IFERROR(VLOOKUP(D9,'UCL SS 3ed'!$C$3:$F$24,2,FALSE),0)</f>
        <v>9</v>
      </c>
      <c r="V9" s="43">
        <f>IFERROR(VLOOKUP(D9,'UCL SS 3ed'!$C$3:$F$24,3,FALSE),0)</f>
        <v>3</v>
      </c>
      <c r="W9" s="61">
        <f>IFERROR(VLOOKUP(D9,'UCL SS 3ed'!$C$3:$F$24,4,FALSE),0)</f>
        <v>6</v>
      </c>
      <c r="X9" s="64">
        <f>IFERROR(V9/U9,0)</f>
        <v>0.33333333333333331</v>
      </c>
      <c r="Y9" s="199">
        <f>E9+I9+M9+Q9+U9</f>
        <v>50</v>
      </c>
      <c r="Z9" s="200">
        <f>F9+J9+N9+R9+V9</f>
        <v>18</v>
      </c>
      <c r="AA9" s="200">
        <f>G9+K9+O9+S9+W9</f>
        <v>32</v>
      </c>
      <c r="AB9" s="201">
        <f>Z9/Y9</f>
        <v>0.36</v>
      </c>
    </row>
    <row r="10" spans="1:30" x14ac:dyDescent="0.35">
      <c r="B10" s="129">
        <v>6</v>
      </c>
      <c r="C10" s="130" t="s">
        <v>121</v>
      </c>
      <c r="D10" s="131" t="s">
        <v>10</v>
      </c>
      <c r="E10" s="95">
        <f>IFERROR((VLOOKUP(D10,'UCL SS'!$C$3:$D$31,2,FALSE)),0)</f>
        <v>15</v>
      </c>
      <c r="F10" s="43">
        <f>IFERROR(VLOOKUP(D10,'UCL SS'!$C$3:$E$31,3,FALSE),0)</f>
        <v>7</v>
      </c>
      <c r="G10" s="43">
        <f>IFERROR(VLOOKUP(D10,'UCL SS'!$C$3:$F$31,4,FALSE),0)</f>
        <v>8</v>
      </c>
      <c r="H10" s="64">
        <f>IFERROR(F10/E10,0)</f>
        <v>0.46666666666666667</v>
      </c>
      <c r="I10" s="67">
        <f>IFERROR(VLOOKUP(D10,'UCL WS'!$C$3:$F$35,2,FALSE),0)</f>
        <v>0</v>
      </c>
      <c r="J10" s="44">
        <f>IFERROR(VLOOKUP(D10,'UCL WS'!$C$3:$F$35,3,FALSE),0)</f>
        <v>0</v>
      </c>
      <c r="K10" s="45">
        <f>IFERROR(VLOOKUP(D10,'UCL WS'!$C$3:$F$35,4,FALSE),0)</f>
        <v>0</v>
      </c>
      <c r="L10" s="83">
        <f>IFERROR(J10/I10,0)</f>
        <v>0</v>
      </c>
      <c r="M10" s="63">
        <f>IFERROR(VLOOKUP(D10,'UCL SS 2ed'!$C$3:$F$50,2,FALSE),0)</f>
        <v>4</v>
      </c>
      <c r="N10" s="43">
        <f>IFERROR(VLOOKUP(D10,'UCL SS 2ed'!$C$3:$F$50,3,FALSE),0)</f>
        <v>1</v>
      </c>
      <c r="O10" s="61">
        <f>IFERROR(VLOOKUP(D10,'UCL SS 2ed'!$C$3:$F$50,4,FALSE),0)</f>
        <v>3</v>
      </c>
      <c r="P10" s="87">
        <f>IFERROR(N10/M10,0)</f>
        <v>0.25</v>
      </c>
      <c r="Q10" s="89">
        <f>+_xlfn.XLOOKUP(D10,'UCL WS 2ed'!$C$3:$C$37,'UCL WS 2ed'!$D$3:$D$37,0,0)</f>
        <v>17</v>
      </c>
      <c r="R10" s="45">
        <f>+_xlfn.XLOOKUP(D10,'UCL WS 2ed'!$C$3:$C$37,'UCL WS 2ed'!$E$3:$E$37,0,0)</f>
        <v>6</v>
      </c>
      <c r="S10" s="45">
        <f>+_xlfn.XLOOKUP(D10,'UCL WS 2ed'!$C$3:$C$37,'UCL WS 2ed'!$F$3:$F$37,0)</f>
        <v>11</v>
      </c>
      <c r="T10" s="83">
        <f>IFERROR(R10/Q10,0)</f>
        <v>0.35294117647058826</v>
      </c>
      <c r="U10" s="63">
        <f>IFERROR(VLOOKUP(D10,'UCL SS 3ed'!$C$3:$F$24,2,FALSE),0)</f>
        <v>9</v>
      </c>
      <c r="V10" s="43">
        <f>IFERROR(VLOOKUP(D10,'UCL SS 3ed'!$C$3:$F$24,3,FALSE),0)</f>
        <v>2</v>
      </c>
      <c r="W10" s="61">
        <f>IFERROR(VLOOKUP(D10,'UCL SS 3ed'!$C$3:$F$24,4,FALSE),0)</f>
        <v>7</v>
      </c>
      <c r="X10" s="64">
        <f>IFERROR(V10/U10,0)</f>
        <v>0.22222222222222221</v>
      </c>
      <c r="Y10" s="199">
        <f>E10+I10+M10+Q10+U10</f>
        <v>45</v>
      </c>
      <c r="Z10" s="200">
        <f>F10+J10+N10+R10+V10</f>
        <v>16</v>
      </c>
      <c r="AA10" s="200">
        <f>G10+K10+O10+S10+W10</f>
        <v>29</v>
      </c>
      <c r="AB10" s="201">
        <f>Z10/Y10</f>
        <v>0.35555555555555557</v>
      </c>
    </row>
    <row r="11" spans="1:30" x14ac:dyDescent="0.35">
      <c r="B11" s="129">
        <v>6</v>
      </c>
      <c r="C11" s="130" t="s">
        <v>37</v>
      </c>
      <c r="D11" s="131" t="s">
        <v>133</v>
      </c>
      <c r="E11" s="95">
        <f>IFERROR((VLOOKUP(D11,'UCL SS'!$C$3:$D$31,2,FALSE)),0)</f>
        <v>1</v>
      </c>
      <c r="F11" s="43">
        <f>IFERROR(VLOOKUP(D11,'UCL SS'!$C$3:$E$31,3,FALSE),0)</f>
        <v>0</v>
      </c>
      <c r="G11" s="43">
        <f>IFERROR(VLOOKUP(D11,'UCL SS'!$C$3:$F$31,4,FALSE),0)</f>
        <v>1</v>
      </c>
      <c r="H11" s="64">
        <f>IFERROR(F11/E11,0)</f>
        <v>0</v>
      </c>
      <c r="I11" s="67">
        <f>IFERROR(VLOOKUP(D11,'UCL WS'!$C$3:$F$35,2,FALSE),0)</f>
        <v>9</v>
      </c>
      <c r="J11" s="44">
        <f>IFERROR(VLOOKUP(D11,'UCL WS'!$C$3:$F$35,3,FALSE),0)</f>
        <v>4</v>
      </c>
      <c r="K11" s="45">
        <f>IFERROR(VLOOKUP(D11,'UCL WS'!$C$3:$F$35,4,FALSE),0)</f>
        <v>5</v>
      </c>
      <c r="L11" s="83">
        <f>IFERROR(J11/I11,0)</f>
        <v>0.44444444444444442</v>
      </c>
      <c r="M11" s="63">
        <f>IFERROR(VLOOKUP(D11,'UCL SS 2ed'!$C$3:$F$50,2,FALSE),0)</f>
        <v>12</v>
      </c>
      <c r="N11" s="43">
        <f>IFERROR(VLOOKUP(D11,'UCL SS 2ed'!$C$3:$F$50,3,FALSE),0)</f>
        <v>7</v>
      </c>
      <c r="O11" s="61">
        <f>IFERROR(VLOOKUP(D11,'UCL SS 2ed'!$C$3:$F$50,4,FALSE),0)</f>
        <v>5</v>
      </c>
      <c r="P11" s="87">
        <f>IFERROR(N11/M11,0)</f>
        <v>0.58333333333333337</v>
      </c>
      <c r="Q11" s="89">
        <f>+_xlfn.XLOOKUP(D11,'UCL WS 2ed'!$C$3:$C$37,'UCL WS 2ed'!$D$3:$D$37,0,0)</f>
        <v>12</v>
      </c>
      <c r="R11" s="45">
        <f>+_xlfn.XLOOKUP(D11,'UCL WS 2ed'!$C$3:$C$37,'UCL WS 2ed'!$E$3:$E$37,0,0)</f>
        <v>5</v>
      </c>
      <c r="S11" s="45">
        <f>+_xlfn.XLOOKUP(D11,'UCL WS 2ed'!$C$3:$C$37,'UCL WS 2ed'!$F$3:$F$37,0)</f>
        <v>7</v>
      </c>
      <c r="T11" s="83">
        <f>IFERROR(R11/Q11,0)</f>
        <v>0.41666666666666669</v>
      </c>
      <c r="U11" s="63">
        <f>IFERROR(VLOOKUP(D11,'UCL SS 3ed'!$C$3:$F$24,2,FALSE),0)</f>
        <v>11</v>
      </c>
      <c r="V11" s="43">
        <f>IFERROR(VLOOKUP(D11,'UCL SS 3ed'!$C$3:$F$24,3,FALSE),0)</f>
        <v>4</v>
      </c>
      <c r="W11" s="61">
        <f>IFERROR(VLOOKUP(D11,'UCL SS 3ed'!$C$3:$F$24,4,FALSE),0)</f>
        <v>7</v>
      </c>
      <c r="X11" s="64">
        <f>IFERROR(V11/U11,0)</f>
        <v>0.36363636363636365</v>
      </c>
      <c r="Y11" s="199">
        <f>E11+I11+M11+Q11+U11</f>
        <v>45</v>
      </c>
      <c r="Z11" s="200">
        <f>F11+J11+N11+R11+V11</f>
        <v>20</v>
      </c>
      <c r="AA11" s="200">
        <f>G11+K11+O11+S11+W11</f>
        <v>25</v>
      </c>
      <c r="AB11" s="201">
        <f>Z11/Y11</f>
        <v>0.44444444444444442</v>
      </c>
    </row>
    <row r="12" spans="1:30" x14ac:dyDescent="0.35">
      <c r="B12" s="129">
        <v>8</v>
      </c>
      <c r="C12" s="130" t="s">
        <v>119</v>
      </c>
      <c r="D12" s="131" t="s">
        <v>13</v>
      </c>
      <c r="E12" s="95">
        <f>IFERROR((VLOOKUP(D12,'UCL SS'!$C$3:$D$31,2,FALSE)),0)</f>
        <v>13</v>
      </c>
      <c r="F12" s="43">
        <f>IFERROR(VLOOKUP(D12,'UCL SS'!$C$3:$E$31,3,FALSE),0)</f>
        <v>8</v>
      </c>
      <c r="G12" s="43">
        <f>IFERROR(VLOOKUP(D12,'UCL SS'!$C$3:$F$31,4,FALSE),0)</f>
        <v>5</v>
      </c>
      <c r="H12" s="64">
        <f>IFERROR(F12/E12,0)</f>
        <v>0.61538461538461542</v>
      </c>
      <c r="I12" s="67">
        <f>IFERROR(VLOOKUP(D12,'UCL WS'!$C$3:$F$35,2,FALSE),0)</f>
        <v>2</v>
      </c>
      <c r="J12" s="44">
        <f>IFERROR(VLOOKUP(D12,'UCL WS'!$C$3:$F$35,3,FALSE),0)</f>
        <v>1</v>
      </c>
      <c r="K12" s="45">
        <f>IFERROR(VLOOKUP(D12,'UCL WS'!$C$3:$F$35,4,FALSE),0)</f>
        <v>1</v>
      </c>
      <c r="L12" s="83">
        <f>IFERROR(J12/I12,0)</f>
        <v>0.5</v>
      </c>
      <c r="M12" s="63">
        <f>IFERROR(VLOOKUP(D12,'UCL SS 2ed'!$C$3:$F$50,2,FALSE),0)</f>
        <v>3</v>
      </c>
      <c r="N12" s="43">
        <f>IFERROR(VLOOKUP(D12,'UCL SS 2ed'!$C$3:$F$50,3,FALSE),0)</f>
        <v>1</v>
      </c>
      <c r="O12" s="61">
        <f>IFERROR(VLOOKUP(D12,'UCL SS 2ed'!$C$3:$F$50,4,FALSE),0)</f>
        <v>2</v>
      </c>
      <c r="P12" s="87">
        <f>IFERROR(N12/M12,0)</f>
        <v>0.33333333333333331</v>
      </c>
      <c r="Q12" s="89">
        <f>+_xlfn.XLOOKUP(D12,'UCL WS 2ed'!$C$3:$C$37,'UCL WS 2ed'!$D$3:$D$37,0,0)</f>
        <v>11</v>
      </c>
      <c r="R12" s="45">
        <f>+_xlfn.XLOOKUP(D12,'UCL WS 2ed'!$C$3:$C$37,'UCL WS 2ed'!$E$3:$E$37,0,0)</f>
        <v>4</v>
      </c>
      <c r="S12" s="45">
        <f>+_xlfn.XLOOKUP(D12,'UCL WS 2ed'!$C$3:$C$37,'UCL WS 2ed'!$F$3:$F$37,0)</f>
        <v>7</v>
      </c>
      <c r="T12" s="83">
        <f>IFERROR(R12/Q12,0)</f>
        <v>0.36363636363636365</v>
      </c>
      <c r="U12" s="63">
        <f>IFERROR(VLOOKUP(D12,'UCL SS 3ed'!$C$3:$F$24,2,FALSE),0)</f>
        <v>9</v>
      </c>
      <c r="V12" s="43">
        <f>IFERROR(VLOOKUP(D12,'UCL SS 3ed'!$C$3:$F$24,3,FALSE),0)</f>
        <v>5</v>
      </c>
      <c r="W12" s="61">
        <f>IFERROR(VLOOKUP(D12,'UCL SS 3ed'!$C$3:$F$24,4,FALSE),0)</f>
        <v>4</v>
      </c>
      <c r="X12" s="64">
        <f>IFERROR(V12/U12,0)</f>
        <v>0.55555555555555558</v>
      </c>
      <c r="Y12" s="199">
        <f>E12+I12+M12+Q12+U12</f>
        <v>38</v>
      </c>
      <c r="Z12" s="200">
        <f>F12+J12+N12+R12+V12</f>
        <v>19</v>
      </c>
      <c r="AA12" s="200">
        <f>G12+K12+O12+S12+W12</f>
        <v>19</v>
      </c>
      <c r="AB12" s="201">
        <f>Z12/Y12</f>
        <v>0.5</v>
      </c>
    </row>
    <row r="13" spans="1:30" x14ac:dyDescent="0.35">
      <c r="B13" s="129">
        <v>9</v>
      </c>
      <c r="C13" s="130" t="s">
        <v>99</v>
      </c>
      <c r="D13" s="131" t="s">
        <v>100</v>
      </c>
      <c r="E13" s="95">
        <f>IFERROR((VLOOKUP(D13,'UCL SS'!$C$3:$D$31,2,FALSE)),0)</f>
        <v>0</v>
      </c>
      <c r="F13" s="43">
        <f>IFERROR(VLOOKUP(D13,'UCL SS'!$C$3:$E$31,3,FALSE),0)</f>
        <v>0</v>
      </c>
      <c r="G13" s="43">
        <f>IFERROR(VLOOKUP(D13,'UCL SS'!$C$3:$F$31,4,FALSE),0)</f>
        <v>0</v>
      </c>
      <c r="H13" s="64">
        <f>IFERROR(F13/E13,0)</f>
        <v>0</v>
      </c>
      <c r="I13" s="67">
        <f>IFERROR(VLOOKUP(D13,'UCL WS'!$C$3:$F$35,2,FALSE),0)</f>
        <v>16</v>
      </c>
      <c r="J13" s="44">
        <f>IFERROR(VLOOKUP(D13,'UCL WS'!$C$3:$F$35,3,FALSE),0)</f>
        <v>9</v>
      </c>
      <c r="K13" s="45">
        <f>IFERROR(VLOOKUP(D13,'UCL WS'!$C$3:$F$35,4,FALSE),0)</f>
        <v>7</v>
      </c>
      <c r="L13" s="83">
        <f>IFERROR(J13/I13,0)</f>
        <v>0.5625</v>
      </c>
      <c r="M13" s="63">
        <f>IFERROR(VLOOKUP(D13,'UCL SS 2ed'!$C$3:$F$50,2,FALSE),0)</f>
        <v>4</v>
      </c>
      <c r="N13" s="43">
        <f>IFERROR(VLOOKUP(D13,'UCL SS 2ed'!$C$3:$F$50,3,FALSE),0)</f>
        <v>2</v>
      </c>
      <c r="O13" s="61">
        <f>IFERROR(VLOOKUP(D13,'UCL SS 2ed'!$C$3:$F$50,4,FALSE),0)</f>
        <v>2</v>
      </c>
      <c r="P13" s="87">
        <f>IFERROR(N13/M13,0)</f>
        <v>0.5</v>
      </c>
      <c r="Q13" s="89">
        <f>+_xlfn.XLOOKUP(D13,'UCL WS 2ed'!$C$3:$C$37,'UCL WS 2ed'!$D$3:$D$37,0,0)</f>
        <v>5</v>
      </c>
      <c r="R13" s="45">
        <f>+_xlfn.XLOOKUP(D13,'UCL WS 2ed'!$C$3:$C$37,'UCL WS 2ed'!$E$3:$E$37,0,0)</f>
        <v>2</v>
      </c>
      <c r="S13" s="45">
        <f>+_xlfn.XLOOKUP(D13,'UCL WS 2ed'!$C$3:$C$37,'UCL WS 2ed'!$F$3:$F$37,0)</f>
        <v>3</v>
      </c>
      <c r="T13" s="83">
        <f>IFERROR(R13/Q13,0)</f>
        <v>0.4</v>
      </c>
      <c r="U13" s="63">
        <f>IFERROR(VLOOKUP(D13,'UCL SS 3ed'!$C$3:$F$24,2,FALSE),0)</f>
        <v>10</v>
      </c>
      <c r="V13" s="43">
        <f>IFERROR(VLOOKUP(D13,'UCL SS 3ed'!$C$3:$F$24,3,FALSE),0)</f>
        <v>7</v>
      </c>
      <c r="W13" s="61">
        <f>IFERROR(VLOOKUP(D13,'UCL SS 3ed'!$C$3:$F$24,4,FALSE),0)</f>
        <v>3</v>
      </c>
      <c r="X13" s="64">
        <f>IFERROR(V13/U13,0)</f>
        <v>0.7</v>
      </c>
      <c r="Y13" s="199">
        <f>E13+I13+M13+Q13+U13</f>
        <v>35</v>
      </c>
      <c r="Z13" s="200">
        <f>F13+J13+N13+R13+V13</f>
        <v>20</v>
      </c>
      <c r="AA13" s="200">
        <f>G13+K13+O13+S13+W13</f>
        <v>15</v>
      </c>
      <c r="AB13" s="201">
        <f>Z13/Y13</f>
        <v>0.5714285714285714</v>
      </c>
    </row>
    <row r="14" spans="1:30" x14ac:dyDescent="0.35">
      <c r="B14" s="106">
        <v>10</v>
      </c>
      <c r="C14" s="11" t="s">
        <v>231</v>
      </c>
      <c r="D14" s="107" t="s">
        <v>98</v>
      </c>
      <c r="E14" s="95">
        <f>IFERROR((VLOOKUP(D14,'UCL SS'!$C$3:$D$31,2,FALSE)),0)</f>
        <v>0</v>
      </c>
      <c r="F14" s="43">
        <f>IFERROR(VLOOKUP(D14,'UCL SS'!$C$3:$E$31,3,FALSE),0)</f>
        <v>0</v>
      </c>
      <c r="G14" s="43">
        <f>IFERROR(VLOOKUP(D14,'UCL SS'!$C$3:$F$31,4,FALSE),0)</f>
        <v>0</v>
      </c>
      <c r="H14" s="64">
        <f>IFERROR(F14/E14,0)</f>
        <v>0</v>
      </c>
      <c r="I14" s="67">
        <f>IFERROR(VLOOKUP(D14,'UCL WS'!$C$3:$F$35,2,FALSE),0)</f>
        <v>15</v>
      </c>
      <c r="J14" s="44">
        <f>IFERROR(VLOOKUP(D14,'UCL WS'!$C$3:$F$35,3,FALSE),0)</f>
        <v>6</v>
      </c>
      <c r="K14" s="45">
        <f>IFERROR(VLOOKUP(D14,'UCL WS'!$C$3:$F$35,4,FALSE),0)</f>
        <v>9</v>
      </c>
      <c r="L14" s="83">
        <f>IFERROR(J14/I14,0)</f>
        <v>0.4</v>
      </c>
      <c r="M14" s="63">
        <f>IFERROR(VLOOKUP(D14,'UCL SS 2ed'!$C$3:$F$50,2,FALSE),0)</f>
        <v>9</v>
      </c>
      <c r="N14" s="43">
        <f>IFERROR(VLOOKUP(D14,'UCL SS 2ed'!$C$3:$F$50,3,FALSE),0)</f>
        <v>4</v>
      </c>
      <c r="O14" s="61">
        <f>IFERROR(VLOOKUP(D14,'UCL SS 2ed'!$C$3:$F$50,4,FALSE),0)</f>
        <v>5</v>
      </c>
      <c r="P14" s="87">
        <f>IFERROR(N14/M14,0)</f>
        <v>0.44444444444444442</v>
      </c>
      <c r="Q14" s="89">
        <f>+_xlfn.XLOOKUP(D14,'UCL WS 2ed'!$C$3:$C$37,'UCL WS 2ed'!$D$3:$D$37,0,0)</f>
        <v>4</v>
      </c>
      <c r="R14" s="45">
        <f>+_xlfn.XLOOKUP(D14,'UCL WS 2ed'!$C$3:$C$37,'UCL WS 2ed'!$E$3:$E$37,0,0)</f>
        <v>2</v>
      </c>
      <c r="S14" s="45">
        <f>+_xlfn.XLOOKUP(D14,'UCL WS 2ed'!$C$3:$C$37,'UCL WS 2ed'!$F$3:$F$37,0)</f>
        <v>2</v>
      </c>
      <c r="T14" s="83">
        <f>IFERROR(R14/Q14,0)</f>
        <v>0.5</v>
      </c>
      <c r="U14" s="63">
        <f>IFERROR(VLOOKUP(D14,'UCL SS 3ed'!$C$3:$F$24,2,FALSE),0)</f>
        <v>2</v>
      </c>
      <c r="V14" s="43">
        <f>IFERROR(VLOOKUP(D14,'UCL SS 3ed'!$C$3:$F$24,3,FALSE),0)</f>
        <v>1</v>
      </c>
      <c r="W14" s="61">
        <f>IFERROR(VLOOKUP(D14,'UCL SS 3ed'!$C$3:$F$24,4,FALSE),0)</f>
        <v>1</v>
      </c>
      <c r="X14" s="64">
        <f>IFERROR(V14/U14,0)</f>
        <v>0.5</v>
      </c>
      <c r="Y14" s="199">
        <f>E14+I14+M14+Q14+U14</f>
        <v>30</v>
      </c>
      <c r="Z14" s="200">
        <f>F14+J14+N14+R14+V14</f>
        <v>13</v>
      </c>
      <c r="AA14" s="200">
        <f>G14+K14+O14+S14+W14</f>
        <v>17</v>
      </c>
      <c r="AB14" s="201">
        <f>Z14/Y14</f>
        <v>0.43333333333333335</v>
      </c>
    </row>
    <row r="15" spans="1:30" x14ac:dyDescent="0.35">
      <c r="B15" s="129">
        <v>11</v>
      </c>
      <c r="C15" s="130" t="s">
        <v>104</v>
      </c>
      <c r="D15" s="131" t="s">
        <v>107</v>
      </c>
      <c r="E15" s="95">
        <f>IFERROR((VLOOKUP(D15,'UCL SS'!$C$3:$D$31,2,FALSE)),0)</f>
        <v>0</v>
      </c>
      <c r="F15" s="43">
        <f>IFERROR(VLOOKUP(D15,'UCL SS'!$C$3:$E$31,3,FALSE),0)</f>
        <v>0</v>
      </c>
      <c r="G15" s="43">
        <f>IFERROR(VLOOKUP(D15,'UCL SS'!$C$3:$F$31,4,FALSE),0)</f>
        <v>0</v>
      </c>
      <c r="H15" s="64">
        <f>IFERROR(F15/E15,0)</f>
        <v>0</v>
      </c>
      <c r="I15" s="67">
        <f>IFERROR(VLOOKUP(D15,'UCL WS'!$C$3:$F$35,2,FALSE),0)</f>
        <v>1</v>
      </c>
      <c r="J15" s="44">
        <f>IFERROR(VLOOKUP(D15,'UCL WS'!$C$3:$F$35,3,FALSE),0)</f>
        <v>0</v>
      </c>
      <c r="K15" s="45">
        <f>IFERROR(VLOOKUP(D15,'UCL WS'!$C$3:$F$35,4,FALSE),0)</f>
        <v>1</v>
      </c>
      <c r="L15" s="83">
        <f>IFERROR(J15/I15,0)</f>
        <v>0</v>
      </c>
      <c r="M15" s="63">
        <f>IFERROR(VLOOKUP(D15,'UCL SS 2ed'!$C$3:$F$50,2,FALSE),0)</f>
        <v>3</v>
      </c>
      <c r="N15" s="43">
        <f>IFERROR(VLOOKUP(D15,'UCL SS 2ed'!$C$3:$F$50,3,FALSE),0)</f>
        <v>3</v>
      </c>
      <c r="O15" s="61">
        <f>IFERROR(VLOOKUP(D15,'UCL SS 2ed'!$C$3:$F$50,4,FALSE),0)</f>
        <v>0</v>
      </c>
      <c r="P15" s="87">
        <f>IFERROR(N15/M15,0)</f>
        <v>1</v>
      </c>
      <c r="Q15" s="89">
        <f>+_xlfn.XLOOKUP(D15,'UCL WS 2ed'!$C$3:$C$37,'UCL WS 2ed'!$D$3:$D$37,0,0)</f>
        <v>12</v>
      </c>
      <c r="R15" s="45">
        <f>+_xlfn.XLOOKUP(D15,'UCL WS 2ed'!$C$3:$C$37,'UCL WS 2ed'!$E$3:$E$37,0,0)</f>
        <v>9</v>
      </c>
      <c r="S15" s="45">
        <f>+_xlfn.XLOOKUP(D15,'UCL WS 2ed'!$C$3:$C$37,'UCL WS 2ed'!$F$3:$F$37,0)</f>
        <v>3</v>
      </c>
      <c r="T15" s="83">
        <f>IFERROR(R15/Q15,0)</f>
        <v>0.75</v>
      </c>
      <c r="U15" s="63">
        <f>IFERROR(VLOOKUP(D15,'UCL SS 3ed'!$C$3:$F$24,2,FALSE),0)</f>
        <v>11</v>
      </c>
      <c r="V15" s="43">
        <f>IFERROR(VLOOKUP(D15,'UCL SS 3ed'!$C$3:$F$24,3,FALSE),0)</f>
        <v>6</v>
      </c>
      <c r="W15" s="61">
        <f>IFERROR(VLOOKUP(D15,'UCL SS 3ed'!$C$3:$F$24,4,FALSE),0)</f>
        <v>5</v>
      </c>
      <c r="X15" s="64">
        <f>IFERROR(V15/U15,0)</f>
        <v>0.54545454545454541</v>
      </c>
      <c r="Y15" s="199">
        <f>E15+I15+M15+Q15+U15</f>
        <v>27</v>
      </c>
      <c r="Z15" s="200">
        <f>F15+J15+N15+R15+V15</f>
        <v>18</v>
      </c>
      <c r="AA15" s="200">
        <f>G15+K15+O15+S15+W15</f>
        <v>9</v>
      </c>
      <c r="AB15" s="201">
        <f>Z15/Y15</f>
        <v>0.66666666666666663</v>
      </c>
    </row>
    <row r="16" spans="1:30" x14ac:dyDescent="0.35">
      <c r="B16" s="106">
        <v>12</v>
      </c>
      <c r="C16" s="11" t="s">
        <v>101</v>
      </c>
      <c r="D16" s="107" t="s">
        <v>29</v>
      </c>
      <c r="E16" s="95">
        <f>IFERROR((VLOOKUP(D16,'UCL SS'!$C$3:$D$31,2,FALSE)),0)</f>
        <v>16</v>
      </c>
      <c r="F16" s="43">
        <f>IFERROR(VLOOKUP(D16,'UCL SS'!$C$3:$E$31,3,FALSE),0)</f>
        <v>8</v>
      </c>
      <c r="G16" s="43">
        <f>IFERROR(VLOOKUP(D16,'UCL SS'!$C$3:$F$31,4,FALSE),0)</f>
        <v>8</v>
      </c>
      <c r="H16" s="64">
        <f>IFERROR(F16/E16,0)</f>
        <v>0.5</v>
      </c>
      <c r="I16" s="67">
        <f>IFERROR(VLOOKUP(D16,'UCL WS'!$C$3:$F$35,2,FALSE),0)</f>
        <v>4</v>
      </c>
      <c r="J16" s="44">
        <f>IFERROR(VLOOKUP(D16,'UCL WS'!$C$3:$F$35,3,FALSE),0)</f>
        <v>2</v>
      </c>
      <c r="K16" s="45">
        <f>IFERROR(VLOOKUP(D16,'UCL WS'!$C$3:$F$35,4,FALSE),0)</f>
        <v>2</v>
      </c>
      <c r="L16" s="83">
        <f>IFERROR(J16/I16,0)</f>
        <v>0.5</v>
      </c>
      <c r="M16" s="63">
        <f>IFERROR(VLOOKUP(D16,'UCL SS 2ed'!$C$3:$F$50,2,FALSE),0)</f>
        <v>2</v>
      </c>
      <c r="N16" s="43">
        <f>IFERROR(VLOOKUP(D16,'UCL SS 2ed'!$C$3:$F$50,3,FALSE),0)</f>
        <v>1</v>
      </c>
      <c r="O16" s="61">
        <f>IFERROR(VLOOKUP(D16,'UCL SS 2ed'!$C$3:$F$50,4,FALSE),0)</f>
        <v>1</v>
      </c>
      <c r="P16" s="87">
        <f>IFERROR(N16/M16,0)</f>
        <v>0.5</v>
      </c>
      <c r="Q16" s="89">
        <f>+_xlfn.XLOOKUP(D16,'UCL WS 2ed'!$C$3:$C$37,'UCL WS 2ed'!$D$3:$D$37,0,0)</f>
        <v>1</v>
      </c>
      <c r="R16" s="45">
        <f>+_xlfn.XLOOKUP(D16,'UCL WS 2ed'!$C$3:$C$37,'UCL WS 2ed'!$E$3:$E$37,0,0)</f>
        <v>1</v>
      </c>
      <c r="S16" s="45">
        <f>+_xlfn.XLOOKUP(D16,'UCL WS 2ed'!$C$3:$C$37,'UCL WS 2ed'!$F$3:$F$37,0)</f>
        <v>0</v>
      </c>
      <c r="T16" s="83">
        <f>IFERROR(R16/Q16,0)</f>
        <v>1</v>
      </c>
      <c r="U16" s="63">
        <f>IFERROR(VLOOKUP(D16,'UCL SS 3ed'!$C$3:$F$24,2,FALSE),0)</f>
        <v>0</v>
      </c>
      <c r="V16" s="43">
        <f>IFERROR(VLOOKUP(D16,'UCL SS 3ed'!$C$3:$F$24,3,FALSE),0)</f>
        <v>0</v>
      </c>
      <c r="W16" s="61">
        <f>IFERROR(VLOOKUP(D16,'UCL SS 3ed'!$C$3:$F$24,4,FALSE),0)</f>
        <v>0</v>
      </c>
      <c r="X16" s="64">
        <f>IFERROR(V16/U16,0)</f>
        <v>0</v>
      </c>
      <c r="Y16" s="199">
        <f>E16+I16+M16+Q16+U16</f>
        <v>23</v>
      </c>
      <c r="Z16" s="200">
        <f>F16+J16+N16+R16+V16</f>
        <v>12</v>
      </c>
      <c r="AA16" s="200">
        <f>G16+K16+O16+S16+W16</f>
        <v>11</v>
      </c>
      <c r="AB16" s="201">
        <f>Z16/Y16</f>
        <v>0.52173913043478259</v>
      </c>
    </row>
    <row r="17" spans="2:29" x14ac:dyDescent="0.35">
      <c r="B17" s="85">
        <v>13</v>
      </c>
      <c r="C17" s="4" t="s">
        <v>95</v>
      </c>
      <c r="D17" s="86" t="s">
        <v>4</v>
      </c>
      <c r="E17" s="95">
        <f>IFERROR((VLOOKUP(D17,'UCL SS'!$C$3:$D$31,2,FALSE)),0)</f>
        <v>9</v>
      </c>
      <c r="F17" s="43">
        <f>IFERROR(VLOOKUP(D17,'UCL SS'!$C$3:$E$31,3,FALSE),0)</f>
        <v>6</v>
      </c>
      <c r="G17" s="43">
        <f>IFERROR(VLOOKUP(D17,'UCL SS'!$C$3:$F$31,4,FALSE),0)</f>
        <v>3</v>
      </c>
      <c r="H17" s="64">
        <f>IFERROR(F17/E17,0)</f>
        <v>0.66666666666666663</v>
      </c>
      <c r="I17" s="67">
        <f>IFERROR(VLOOKUP(D17,'UCL WS'!$C$3:$F$35,2,FALSE),0)</f>
        <v>11</v>
      </c>
      <c r="J17" s="44">
        <f>IFERROR(VLOOKUP(D17,'UCL WS'!$C$3:$F$35,3,FALSE),0)</f>
        <v>7</v>
      </c>
      <c r="K17" s="45">
        <f>IFERROR(VLOOKUP(D17,'UCL WS'!$C$3:$F$35,4,FALSE),0)</f>
        <v>4</v>
      </c>
      <c r="L17" s="83">
        <f>IFERROR(J17/I17,0)</f>
        <v>0.63636363636363635</v>
      </c>
      <c r="M17" s="63">
        <f>IFERROR(VLOOKUP(D17,'UCL SS 2ed'!$C$3:$F$50,2,FALSE),0)</f>
        <v>1</v>
      </c>
      <c r="N17" s="43">
        <f>IFERROR(VLOOKUP(D17,'UCL SS 2ed'!$C$3:$F$50,3,FALSE),0)</f>
        <v>1</v>
      </c>
      <c r="O17" s="61">
        <f>IFERROR(VLOOKUP(D17,'UCL SS 2ed'!$C$3:$F$50,4,FALSE),0)</f>
        <v>0</v>
      </c>
      <c r="P17" s="87">
        <f>IFERROR(N17/M17,0)</f>
        <v>1</v>
      </c>
      <c r="Q17" s="89">
        <f>+_xlfn.XLOOKUP(D17,'UCL WS 2ed'!$C$3:$C$37,'UCL WS 2ed'!$D$3:$D$37,0,0)</f>
        <v>1</v>
      </c>
      <c r="R17" s="45">
        <f>+_xlfn.XLOOKUP(D17,'UCL WS 2ed'!$C$3:$C$37,'UCL WS 2ed'!$E$3:$E$37,0,0)</f>
        <v>0</v>
      </c>
      <c r="S17" s="45">
        <f>+_xlfn.XLOOKUP(D17,'UCL WS 2ed'!$C$3:$C$37,'UCL WS 2ed'!$F$3:$F$37,0)</f>
        <v>1</v>
      </c>
      <c r="T17" s="83">
        <f>IFERROR(R17/Q17,0)</f>
        <v>0</v>
      </c>
      <c r="U17" s="63">
        <f>IFERROR(VLOOKUP(D17,'UCL SS 3ed'!$C$3:$F$24,2,FALSE),0)</f>
        <v>0</v>
      </c>
      <c r="V17" s="43">
        <f>IFERROR(VLOOKUP(D17,'UCL SS 3ed'!$C$3:$F$24,3,FALSE),0)</f>
        <v>0</v>
      </c>
      <c r="W17" s="61">
        <f>IFERROR(VLOOKUP(D17,'UCL SS 3ed'!$C$3:$F$24,4,FALSE),0)</f>
        <v>0</v>
      </c>
      <c r="X17" s="64">
        <f>IFERROR(V17/U17,0)</f>
        <v>0</v>
      </c>
      <c r="Y17" s="199">
        <f>E17+I17+M17+Q17+U17</f>
        <v>22</v>
      </c>
      <c r="Z17" s="200">
        <f>F17+J17+N17+R17+V17</f>
        <v>14</v>
      </c>
      <c r="AA17" s="200">
        <f>G17+K17+O17+S17+W17</f>
        <v>8</v>
      </c>
      <c r="AB17" s="201">
        <f>Z17/Y17</f>
        <v>0.63636363636363635</v>
      </c>
    </row>
    <row r="18" spans="2:29" x14ac:dyDescent="0.35">
      <c r="B18" s="106">
        <v>14</v>
      </c>
      <c r="C18" s="11" t="s">
        <v>31</v>
      </c>
      <c r="D18" s="107" t="s">
        <v>31</v>
      </c>
      <c r="E18" s="95">
        <f>IFERROR((VLOOKUP(D18,'UCL SS'!$C$3:$D$31,2,FALSE)),0)</f>
        <v>9</v>
      </c>
      <c r="F18" s="43">
        <f>IFERROR(VLOOKUP(D18,'UCL SS'!$C$3:$E$31,3,FALSE),0)</f>
        <v>5</v>
      </c>
      <c r="G18" s="43">
        <f>IFERROR(VLOOKUP(D18,'UCL SS'!$C$3:$F$31,4,FALSE),0)</f>
        <v>4</v>
      </c>
      <c r="H18" s="64">
        <f>IFERROR(F18/E18,0)</f>
        <v>0.55555555555555558</v>
      </c>
      <c r="I18" s="67">
        <f>IFERROR(VLOOKUP(D18,'UCL WS'!$C$3:$F$35,2,FALSE),0)</f>
        <v>8</v>
      </c>
      <c r="J18" s="44">
        <f>IFERROR(VLOOKUP(D18,'UCL WS'!$C$3:$F$35,3,FALSE),0)</f>
        <v>3</v>
      </c>
      <c r="K18" s="45">
        <f>IFERROR(VLOOKUP(D18,'UCL WS'!$C$3:$F$35,4,FALSE),0)</f>
        <v>5</v>
      </c>
      <c r="L18" s="83">
        <f>IFERROR(J18/I18,0)</f>
        <v>0.375</v>
      </c>
      <c r="M18" s="63">
        <f>IFERROR(VLOOKUP(D18,'UCL SS 2ed'!$C$3:$F$50,2,FALSE),0)</f>
        <v>1</v>
      </c>
      <c r="N18" s="43">
        <f>IFERROR(VLOOKUP(D18,'UCL SS 2ed'!$C$3:$F$50,3,FALSE),0)</f>
        <v>0</v>
      </c>
      <c r="O18" s="61">
        <f>IFERROR(VLOOKUP(D18,'UCL SS 2ed'!$C$3:$F$50,4,FALSE),0)</f>
        <v>1</v>
      </c>
      <c r="P18" s="87">
        <f>IFERROR(N18/M18,0)</f>
        <v>0</v>
      </c>
      <c r="Q18" s="89">
        <f>+_xlfn.XLOOKUP(D18,'UCL WS 2ed'!$C$3:$C$37,'UCL WS 2ed'!$D$3:$D$37,0,0)</f>
        <v>3</v>
      </c>
      <c r="R18" s="45">
        <f>+_xlfn.XLOOKUP(D18,'UCL WS 2ed'!$C$3:$C$37,'UCL WS 2ed'!$E$3:$E$37,0,0)</f>
        <v>2</v>
      </c>
      <c r="S18" s="45">
        <f>+_xlfn.XLOOKUP(D18,'UCL WS 2ed'!$C$3:$C$37,'UCL WS 2ed'!$F$3:$F$37,0)</f>
        <v>1</v>
      </c>
      <c r="T18" s="83">
        <f>IFERROR(R18/Q18,0)</f>
        <v>0.66666666666666663</v>
      </c>
      <c r="U18" s="63">
        <f>IFERROR(VLOOKUP(D18,'UCL SS 3ed'!$C$3:$F$24,2,FALSE),0)</f>
        <v>0</v>
      </c>
      <c r="V18" s="43">
        <f>IFERROR(VLOOKUP(D18,'UCL SS 3ed'!$C$3:$F$24,3,FALSE),0)</f>
        <v>0</v>
      </c>
      <c r="W18" s="61">
        <f>IFERROR(VLOOKUP(D18,'UCL SS 3ed'!$C$3:$F$24,4,FALSE),0)</f>
        <v>0</v>
      </c>
      <c r="X18" s="64">
        <f>IFERROR(V18/U18,0)</f>
        <v>0</v>
      </c>
      <c r="Y18" s="199">
        <f>E18+I18+M18+Q18+U18</f>
        <v>21</v>
      </c>
      <c r="Z18" s="200">
        <f>F18+J18+N18+R18+V18</f>
        <v>10</v>
      </c>
      <c r="AA18" s="200">
        <f>G18+K18+O18+S18+W18</f>
        <v>11</v>
      </c>
      <c r="AB18" s="201">
        <f>Z18/Y18</f>
        <v>0.47619047619047616</v>
      </c>
    </row>
    <row r="19" spans="2:29" x14ac:dyDescent="0.35">
      <c r="B19" s="106">
        <v>14</v>
      </c>
      <c r="C19" s="11" t="s">
        <v>110</v>
      </c>
      <c r="D19" s="107" t="s">
        <v>111</v>
      </c>
      <c r="E19" s="95">
        <f>IFERROR((VLOOKUP(D19,'UCL SS'!$C$3:$D$31,2,FALSE)),0)</f>
        <v>0</v>
      </c>
      <c r="F19" s="43">
        <f>IFERROR(VLOOKUP(D19,'UCL SS'!$C$3:$E$31,3,FALSE),0)</f>
        <v>0</v>
      </c>
      <c r="G19" s="43">
        <f>IFERROR(VLOOKUP(D19,'UCL SS'!$C$3:$F$31,4,FALSE),0)</f>
        <v>0</v>
      </c>
      <c r="H19" s="64">
        <f>IFERROR(F19/E19,0)</f>
        <v>0</v>
      </c>
      <c r="I19" s="67">
        <f>IFERROR(VLOOKUP(D19,'UCL WS'!$C$3:$F$35,2,FALSE),0)</f>
        <v>13</v>
      </c>
      <c r="J19" s="44">
        <f>IFERROR(VLOOKUP(D19,'UCL WS'!$C$3:$F$35,3,FALSE),0)</f>
        <v>7</v>
      </c>
      <c r="K19" s="45">
        <f>IFERROR(VLOOKUP(D19,'UCL WS'!$C$3:$F$35,4,FALSE),0)</f>
        <v>6</v>
      </c>
      <c r="L19" s="83">
        <f>IFERROR(J19/I19,0)</f>
        <v>0.53846153846153844</v>
      </c>
      <c r="M19" s="63">
        <f>IFERROR(VLOOKUP(D19,'UCL SS 2ed'!$C$3:$F$50,2,FALSE),0)</f>
        <v>7</v>
      </c>
      <c r="N19" s="43">
        <f>IFERROR(VLOOKUP(D19,'UCL SS 2ed'!$C$3:$F$50,3,FALSE),0)</f>
        <v>5</v>
      </c>
      <c r="O19" s="61">
        <f>IFERROR(VLOOKUP(D19,'UCL SS 2ed'!$C$3:$F$50,4,FALSE),0)</f>
        <v>2</v>
      </c>
      <c r="P19" s="87">
        <f>IFERROR(N19/M19,0)</f>
        <v>0.7142857142857143</v>
      </c>
      <c r="Q19" s="89">
        <f>+_xlfn.XLOOKUP(D19,'UCL WS 2ed'!$C$3:$C$37,'UCL WS 2ed'!$D$3:$D$37,0,0)</f>
        <v>1</v>
      </c>
      <c r="R19" s="45">
        <f>+_xlfn.XLOOKUP(D19,'UCL WS 2ed'!$C$3:$C$37,'UCL WS 2ed'!$E$3:$E$37,0,0)</f>
        <v>1</v>
      </c>
      <c r="S19" s="45">
        <f>+_xlfn.XLOOKUP(D19,'UCL WS 2ed'!$C$3:$C$37,'UCL WS 2ed'!$F$3:$F$37,0)</f>
        <v>0</v>
      </c>
      <c r="T19" s="83">
        <f>IFERROR(R19/Q19,0)</f>
        <v>1</v>
      </c>
      <c r="U19" s="63">
        <f>IFERROR(VLOOKUP(D19,'UCL SS 3ed'!$C$3:$F$24,2,FALSE),0)</f>
        <v>0</v>
      </c>
      <c r="V19" s="43">
        <f>IFERROR(VLOOKUP(D19,'UCL SS 3ed'!$C$3:$F$24,3,FALSE),0)</f>
        <v>0</v>
      </c>
      <c r="W19" s="61">
        <f>IFERROR(VLOOKUP(D19,'UCL SS 3ed'!$C$3:$F$24,4,FALSE),0)</f>
        <v>0</v>
      </c>
      <c r="X19" s="64">
        <f>IFERROR(V19/U19,0)</f>
        <v>0</v>
      </c>
      <c r="Y19" s="199">
        <f>E19+I19+M19+Q19+U19</f>
        <v>21</v>
      </c>
      <c r="Z19" s="200">
        <f>F19+J19+N19+R19+V19</f>
        <v>13</v>
      </c>
      <c r="AA19" s="200">
        <f>G19+K19+O19+S19+W19</f>
        <v>8</v>
      </c>
      <c r="AB19" s="201">
        <f>Z19/Y19</f>
        <v>0.61904761904761907</v>
      </c>
    </row>
    <row r="20" spans="2:29" x14ac:dyDescent="0.35">
      <c r="B20" s="143">
        <v>14</v>
      </c>
      <c r="C20" s="144" t="s">
        <v>89</v>
      </c>
      <c r="D20" s="145" t="s">
        <v>25</v>
      </c>
      <c r="E20" s="95">
        <f>IFERROR((VLOOKUP(D20,'UCL SS'!$C$3:$D$31,2,FALSE)),0)</f>
        <v>4</v>
      </c>
      <c r="F20" s="43">
        <f>IFERROR(VLOOKUP(D20,'UCL SS'!$C$3:$E$31,3,FALSE),0)</f>
        <v>3</v>
      </c>
      <c r="G20" s="43">
        <f>IFERROR(VLOOKUP(D20,'UCL SS'!$C$3:$F$31,4,FALSE),0)</f>
        <v>1</v>
      </c>
      <c r="H20" s="64">
        <f>IFERROR(F20/E20,0)</f>
        <v>0.75</v>
      </c>
      <c r="I20" s="67">
        <f>IFERROR(VLOOKUP(D20,'UCL WS'!$C$3:$F$35,2,FALSE),0)</f>
        <v>7</v>
      </c>
      <c r="J20" s="44">
        <f>IFERROR(VLOOKUP(D20,'UCL WS'!$C$3:$F$35,3,FALSE),0)</f>
        <v>3</v>
      </c>
      <c r="K20" s="45">
        <f>IFERROR(VLOOKUP(D20,'UCL WS'!$C$3:$F$35,4,FALSE),0)</f>
        <v>4</v>
      </c>
      <c r="L20" s="83">
        <f>IFERROR(J20/I20,0)</f>
        <v>0.42857142857142855</v>
      </c>
      <c r="M20" s="63">
        <f>IFERROR(VLOOKUP(D20,'UCL SS 2ed'!$C$3:$F$50,2,FALSE),0)</f>
        <v>3</v>
      </c>
      <c r="N20" s="43">
        <f>IFERROR(VLOOKUP(D20,'UCL SS 2ed'!$C$3:$F$50,3,FALSE),0)</f>
        <v>1</v>
      </c>
      <c r="O20" s="61">
        <f>IFERROR(VLOOKUP(D20,'UCL SS 2ed'!$C$3:$F$50,4,FALSE),0)</f>
        <v>2</v>
      </c>
      <c r="P20" s="87">
        <f>IFERROR(N20/M20,0)</f>
        <v>0.33333333333333331</v>
      </c>
      <c r="Q20" s="89">
        <f>+_xlfn.XLOOKUP(D20,'UCL WS 2ed'!$C$3:$C$37,'UCL WS 2ed'!$D$3:$D$37,0,0)</f>
        <v>0</v>
      </c>
      <c r="R20" s="45">
        <f>+_xlfn.XLOOKUP(D20,'UCL WS 2ed'!$C$3:$C$37,'UCL WS 2ed'!$E$3:$E$37,0,0)</f>
        <v>0</v>
      </c>
      <c r="S20" s="45">
        <f>+_xlfn.XLOOKUP(D20,'UCL WS 2ed'!$C$3:$C$37,'UCL WS 2ed'!$F$3:$F$37,0)</f>
        <v>0</v>
      </c>
      <c r="T20" s="83">
        <f>IFERROR(R20/Q20,0)</f>
        <v>0</v>
      </c>
      <c r="U20" s="63">
        <f>IFERROR(VLOOKUP(D20,'UCL SS 3ed'!$C$3:$F$24,2,FALSE),0)</f>
        <v>7</v>
      </c>
      <c r="V20" s="43">
        <f>IFERROR(VLOOKUP(D20,'UCL SS 3ed'!$C$3:$F$24,3,FALSE),0)</f>
        <v>5</v>
      </c>
      <c r="W20" s="61">
        <f>IFERROR(VLOOKUP(D20,'UCL SS 3ed'!$C$3:$F$24,4,FALSE),0)</f>
        <v>2</v>
      </c>
      <c r="X20" s="64">
        <f>IFERROR(V20/U20,0)</f>
        <v>0.7142857142857143</v>
      </c>
      <c r="Y20" s="199">
        <f>E20+I20+M20+Q20+U20</f>
        <v>21</v>
      </c>
      <c r="Z20" s="200">
        <f>F20+J20+N20+R20+V20</f>
        <v>12</v>
      </c>
      <c r="AA20" s="200">
        <f>G20+K20+O20+S20+W20</f>
        <v>9</v>
      </c>
      <c r="AB20" s="201">
        <f>Z20/Y20</f>
        <v>0.5714285714285714</v>
      </c>
    </row>
    <row r="21" spans="2:29" x14ac:dyDescent="0.35">
      <c r="B21" s="85">
        <v>17</v>
      </c>
      <c r="C21" s="4" t="s">
        <v>88</v>
      </c>
      <c r="D21" s="86" t="s">
        <v>36</v>
      </c>
      <c r="E21" s="95">
        <f>IFERROR((VLOOKUP(D21,'UCL SS'!$C$3:$D$31,2,FALSE)),0)</f>
        <v>4</v>
      </c>
      <c r="F21" s="43">
        <f>IFERROR(VLOOKUP(D21,'UCL SS'!$C$3:$E$31,3,FALSE),0)</f>
        <v>2</v>
      </c>
      <c r="G21" s="43">
        <f>IFERROR(VLOOKUP(D21,'UCL SS'!$C$3:$F$31,4,FALSE),0)</f>
        <v>2</v>
      </c>
      <c r="H21" s="64">
        <f>IFERROR(F21/E21,0)</f>
        <v>0.5</v>
      </c>
      <c r="I21" s="67">
        <f>IFERROR(VLOOKUP(D21,'UCL WS'!$C$3:$F$35,2,FALSE),0)</f>
        <v>3</v>
      </c>
      <c r="J21" s="44">
        <f>IFERROR(VLOOKUP(D21,'UCL WS'!$C$3:$F$35,3,FALSE),0)</f>
        <v>2</v>
      </c>
      <c r="K21" s="45">
        <f>IFERROR(VLOOKUP(D21,'UCL WS'!$C$3:$F$35,4,FALSE),0)</f>
        <v>1</v>
      </c>
      <c r="L21" s="83">
        <f>IFERROR(J21/I21,0)</f>
        <v>0.66666666666666663</v>
      </c>
      <c r="M21" s="63">
        <f>IFERROR(VLOOKUP(D21,'UCL SS 2ed'!$C$3:$F$50,2,FALSE),0)</f>
        <v>7</v>
      </c>
      <c r="N21" s="43">
        <f>IFERROR(VLOOKUP(D21,'UCL SS 2ed'!$C$3:$F$50,3,FALSE),0)</f>
        <v>2</v>
      </c>
      <c r="O21" s="61">
        <f>IFERROR(VLOOKUP(D21,'UCL SS 2ed'!$C$3:$F$50,4,FALSE),0)</f>
        <v>5</v>
      </c>
      <c r="P21" s="87">
        <f>IFERROR(N21/M21,0)</f>
        <v>0.2857142857142857</v>
      </c>
      <c r="Q21" s="89">
        <f>+_xlfn.XLOOKUP(D21,'UCL WS 2ed'!$C$3:$C$37,'UCL WS 2ed'!$D$3:$D$37,0,0)</f>
        <v>4</v>
      </c>
      <c r="R21" s="45">
        <f>+_xlfn.XLOOKUP(D21,'UCL WS 2ed'!$C$3:$C$37,'UCL WS 2ed'!$E$3:$E$37,0,0)</f>
        <v>0</v>
      </c>
      <c r="S21" s="45">
        <f>+_xlfn.XLOOKUP(D21,'UCL WS 2ed'!$C$3:$C$37,'UCL WS 2ed'!$F$3:$F$37,0)</f>
        <v>4</v>
      </c>
      <c r="T21" s="83">
        <f>IFERROR(R21/Q21,0)</f>
        <v>0</v>
      </c>
      <c r="U21" s="63">
        <f>IFERROR(VLOOKUP(D21,'UCL SS 3ed'!$C$3:$F$24,2,FALSE),0)</f>
        <v>1</v>
      </c>
      <c r="V21" s="43">
        <f>IFERROR(VLOOKUP(D21,'UCL SS 3ed'!$C$3:$F$24,3,FALSE),0)</f>
        <v>0</v>
      </c>
      <c r="W21" s="61">
        <f>IFERROR(VLOOKUP(D21,'UCL SS 3ed'!$C$3:$F$24,4,FALSE),0)</f>
        <v>1</v>
      </c>
      <c r="X21" s="64">
        <f>IFERROR(V21/U21,0)</f>
        <v>0</v>
      </c>
      <c r="Y21" s="199">
        <f>E21+I21+M21+Q21+U21</f>
        <v>19</v>
      </c>
      <c r="Z21" s="200">
        <f>F21+J21+N21+R21+V21</f>
        <v>6</v>
      </c>
      <c r="AA21" s="200">
        <f>G21+K21+O21+S21+W21</f>
        <v>13</v>
      </c>
      <c r="AB21" s="201">
        <f>Z21/Y21</f>
        <v>0.31578947368421051</v>
      </c>
      <c r="AC21" t="s">
        <v>270</v>
      </c>
    </row>
    <row r="22" spans="2:29" x14ac:dyDescent="0.35">
      <c r="B22" s="106">
        <v>18</v>
      </c>
      <c r="C22" s="11" t="s">
        <v>127</v>
      </c>
      <c r="D22" s="107" t="s">
        <v>9</v>
      </c>
      <c r="E22" s="95">
        <f>IFERROR((VLOOKUP(D22,'UCL SS'!$C$3:$D$31,2,FALSE)),0)</f>
        <v>12</v>
      </c>
      <c r="F22" s="43">
        <f>IFERROR(VLOOKUP(D22,'UCL SS'!$C$3:$E$31,3,FALSE),0)</f>
        <v>3</v>
      </c>
      <c r="G22" s="43">
        <f>IFERROR(VLOOKUP(D22,'UCL SS'!$C$3:$F$31,4,FALSE),0)</f>
        <v>9</v>
      </c>
      <c r="H22" s="64">
        <f>IFERROR(F22/E22,0)</f>
        <v>0.25</v>
      </c>
      <c r="I22" s="67">
        <f>IFERROR(VLOOKUP(D22,'UCL WS'!$C$3:$F$35,2,FALSE),0)</f>
        <v>0</v>
      </c>
      <c r="J22" s="44">
        <f>IFERROR(VLOOKUP(D22,'UCL WS'!$C$3:$F$35,3,FALSE),0)</f>
        <v>0</v>
      </c>
      <c r="K22" s="45">
        <f>IFERROR(VLOOKUP(D22,'UCL WS'!$C$3:$F$35,4,FALSE),0)</f>
        <v>0</v>
      </c>
      <c r="L22" s="83">
        <f>IFERROR(J22/I22,0)</f>
        <v>0</v>
      </c>
      <c r="M22" s="63">
        <f>IFERROR(VLOOKUP(D22,'UCL SS 2ed'!$C$3:$F$50,2,FALSE),0)</f>
        <v>1</v>
      </c>
      <c r="N22" s="43">
        <f>IFERROR(VLOOKUP(D22,'UCL SS 2ed'!$C$3:$F$50,3,FALSE),0)</f>
        <v>1</v>
      </c>
      <c r="O22" s="61">
        <f>IFERROR(VLOOKUP(D22,'UCL SS 2ed'!$C$3:$F$50,4,FALSE),0)</f>
        <v>0</v>
      </c>
      <c r="P22" s="87">
        <f>IFERROR(N22/M22,0)</f>
        <v>1</v>
      </c>
      <c r="Q22" s="89">
        <f>+_xlfn.XLOOKUP(D22,'UCL WS 2ed'!$C$3:$C$37,'UCL WS 2ed'!$D$3:$D$37,0,0)</f>
        <v>4</v>
      </c>
      <c r="R22" s="45">
        <f>+_xlfn.XLOOKUP(D22,'UCL WS 2ed'!$C$3:$C$37,'UCL WS 2ed'!$E$3:$E$37,0,0)</f>
        <v>1</v>
      </c>
      <c r="S22" s="45">
        <f>+_xlfn.XLOOKUP(D22,'UCL WS 2ed'!$C$3:$C$37,'UCL WS 2ed'!$F$3:$F$37,0)</f>
        <v>3</v>
      </c>
      <c r="T22" s="83">
        <f>IFERROR(R22/Q22,0)</f>
        <v>0.25</v>
      </c>
      <c r="U22" s="63">
        <f>IFERROR(VLOOKUP(D22,'UCL SS 3ed'!$C$3:$F$24,2,FALSE),0)</f>
        <v>0</v>
      </c>
      <c r="V22" s="43">
        <f>IFERROR(VLOOKUP(D22,'UCL SS 3ed'!$C$3:$F$24,3,FALSE),0)</f>
        <v>0</v>
      </c>
      <c r="W22" s="61">
        <f>IFERROR(VLOOKUP(D22,'UCL SS 3ed'!$C$3:$F$24,4,FALSE),0)</f>
        <v>0</v>
      </c>
      <c r="X22" s="64">
        <f>IFERROR(V22/U22,0)</f>
        <v>0</v>
      </c>
      <c r="Y22" s="199">
        <f>E22+I22+M22+Q22+U22</f>
        <v>17</v>
      </c>
      <c r="Z22" s="200">
        <f>F22+J22+N22+R22+V22</f>
        <v>5</v>
      </c>
      <c r="AA22" s="200">
        <f>G22+K22+O22+S22+W22</f>
        <v>12</v>
      </c>
      <c r="AB22" s="201">
        <f>Z22/Y22</f>
        <v>0.29411764705882354</v>
      </c>
    </row>
    <row r="23" spans="2:29" x14ac:dyDescent="0.35">
      <c r="B23" s="143">
        <v>19</v>
      </c>
      <c r="C23" s="144" t="s">
        <v>126</v>
      </c>
      <c r="D23" s="145" t="s">
        <v>34</v>
      </c>
      <c r="E23" s="95">
        <f>IFERROR((VLOOKUP(D23,'UCL SS'!$C$3:$D$31,2,FALSE)),0)</f>
        <v>5</v>
      </c>
      <c r="F23" s="43">
        <f>IFERROR(VLOOKUP(D23,'UCL SS'!$C$3:$E$31,3,FALSE),0)</f>
        <v>2</v>
      </c>
      <c r="G23" s="43">
        <f>IFERROR(VLOOKUP(D23,'UCL SS'!$C$3:$F$31,4,FALSE),0)</f>
        <v>3</v>
      </c>
      <c r="H23" s="64">
        <f>IFERROR(F23/E23,0)</f>
        <v>0.4</v>
      </c>
      <c r="I23" s="67">
        <f>IFERROR(VLOOKUP(D23,'UCL WS'!$C$3:$F$35,2,FALSE),0)</f>
        <v>0</v>
      </c>
      <c r="J23" s="44">
        <f>IFERROR(VLOOKUP(D23,'UCL WS'!$C$3:$F$35,3,FALSE),0)</f>
        <v>0</v>
      </c>
      <c r="K23" s="45">
        <f>IFERROR(VLOOKUP(D23,'UCL WS'!$C$3:$F$35,4,FALSE),0)</f>
        <v>0</v>
      </c>
      <c r="L23" s="83">
        <f>IFERROR(J23/I23,0)</f>
        <v>0</v>
      </c>
      <c r="M23" s="63">
        <f>IFERROR(VLOOKUP(D23,'UCL SS 2ed'!$C$3:$F$50,2,FALSE),0)</f>
        <v>9</v>
      </c>
      <c r="N23" s="43">
        <f>IFERROR(VLOOKUP(D23,'UCL SS 2ed'!$C$3:$F$50,3,FALSE),0)</f>
        <v>5</v>
      </c>
      <c r="O23" s="61">
        <f>IFERROR(VLOOKUP(D23,'UCL SS 2ed'!$C$3:$F$50,4,FALSE),0)</f>
        <v>4</v>
      </c>
      <c r="P23" s="87">
        <f>IFERROR(N23/M23,0)</f>
        <v>0.55555555555555558</v>
      </c>
      <c r="Q23" s="89">
        <f>+_xlfn.XLOOKUP(D23,'UCL WS 2ed'!$C$3:$C$37,'UCL WS 2ed'!$D$3:$D$37,0,0)</f>
        <v>0</v>
      </c>
      <c r="R23" s="45">
        <f>+_xlfn.XLOOKUP(D23,'UCL WS 2ed'!$C$3:$C$37,'UCL WS 2ed'!$E$3:$E$37,0,0)</f>
        <v>0</v>
      </c>
      <c r="S23" s="45">
        <f>+_xlfn.XLOOKUP(D23,'UCL WS 2ed'!$C$3:$C$37,'UCL WS 2ed'!$F$3:$F$37,0)</f>
        <v>0</v>
      </c>
      <c r="T23" s="83">
        <f>IFERROR(R23/Q23,0)</f>
        <v>0</v>
      </c>
      <c r="U23" s="63">
        <f>IFERROR(VLOOKUP(D23,'UCL SS 3ed'!$C$3:$F$24,2,FALSE),0)</f>
        <v>1</v>
      </c>
      <c r="V23" s="43">
        <f>IFERROR(VLOOKUP(D23,'UCL SS 3ed'!$C$3:$F$24,3,FALSE),0)</f>
        <v>0</v>
      </c>
      <c r="W23" s="61">
        <f>IFERROR(VLOOKUP(D23,'UCL SS 3ed'!$C$3:$F$24,4,FALSE),0)</f>
        <v>1</v>
      </c>
      <c r="X23" s="64">
        <f>IFERROR(V23/U23,0)</f>
        <v>0</v>
      </c>
      <c r="Y23" s="199">
        <f>E23+I23+M23+Q23+U23</f>
        <v>15</v>
      </c>
      <c r="Z23" s="200">
        <f>F23+J23+N23+R23+V23</f>
        <v>7</v>
      </c>
      <c r="AA23" s="200">
        <f>G23+K23+O23+S23+W23</f>
        <v>8</v>
      </c>
      <c r="AB23" s="201">
        <f>Z23/Y23</f>
        <v>0.46666666666666667</v>
      </c>
    </row>
    <row r="24" spans="2:29" x14ac:dyDescent="0.35">
      <c r="B24" s="106">
        <v>20</v>
      </c>
      <c r="C24" s="11" t="s">
        <v>158</v>
      </c>
      <c r="D24" s="107" t="s">
        <v>159</v>
      </c>
      <c r="E24" s="95">
        <f>IFERROR((VLOOKUP(D24,'UCL SS'!$C$3:$D$31,2,FALSE)),0)</f>
        <v>0</v>
      </c>
      <c r="F24" s="43">
        <f>IFERROR(VLOOKUP(D24,'UCL SS'!$C$3:$E$31,3,FALSE),0)</f>
        <v>0</v>
      </c>
      <c r="G24" s="43">
        <f>IFERROR(VLOOKUP(D24,'UCL SS'!$C$3:$F$31,4,FALSE),0)</f>
        <v>0</v>
      </c>
      <c r="H24" s="64">
        <f>IFERROR(F24/E24,0)</f>
        <v>0</v>
      </c>
      <c r="I24" s="67">
        <f>IFERROR(VLOOKUP(D24,'UCL WS'!$C$3:$F$35,2,FALSE),0)</f>
        <v>1</v>
      </c>
      <c r="J24" s="44">
        <f>IFERROR(VLOOKUP(D24,'UCL WS'!$C$3:$F$35,3,FALSE),0)</f>
        <v>0</v>
      </c>
      <c r="K24" s="45">
        <f>IFERROR(VLOOKUP(D24,'UCL WS'!$C$3:$F$35,4,FALSE),0)</f>
        <v>1</v>
      </c>
      <c r="L24" s="83">
        <f>IFERROR(J24/I24,0)</f>
        <v>0</v>
      </c>
      <c r="M24" s="63">
        <f>IFERROR(VLOOKUP(D24,'UCL SS 2ed'!$C$3:$F$50,2,FALSE),0)</f>
        <v>6</v>
      </c>
      <c r="N24" s="43">
        <f>IFERROR(VLOOKUP(D24,'UCL SS 2ed'!$C$3:$F$50,3,FALSE),0)</f>
        <v>4</v>
      </c>
      <c r="O24" s="61">
        <f>IFERROR(VLOOKUP(D24,'UCL SS 2ed'!$C$3:$F$50,4,FALSE),0)</f>
        <v>2</v>
      </c>
      <c r="P24" s="87">
        <f>IFERROR(N24/M24,0)</f>
        <v>0.66666666666666663</v>
      </c>
      <c r="Q24" s="89">
        <f>+_xlfn.XLOOKUP(D24,'UCL WS 2ed'!$C$3:$C$37,'UCL WS 2ed'!$D$3:$D$37,0,0)</f>
        <v>4</v>
      </c>
      <c r="R24" s="45">
        <f>+_xlfn.XLOOKUP(D24,'UCL WS 2ed'!$C$3:$C$37,'UCL WS 2ed'!$E$3:$E$37,0,0)</f>
        <v>1</v>
      </c>
      <c r="S24" s="45">
        <f>+_xlfn.XLOOKUP(D24,'UCL WS 2ed'!$C$3:$C$37,'UCL WS 2ed'!$F$3:$F$37,0)</f>
        <v>3</v>
      </c>
      <c r="T24" s="83">
        <f>IFERROR(R24/Q24,0)</f>
        <v>0.25</v>
      </c>
      <c r="U24" s="63">
        <f>IFERROR(VLOOKUP(D24,'UCL SS 3ed'!$C$3:$F$24,2,FALSE),0)</f>
        <v>2</v>
      </c>
      <c r="V24" s="43">
        <f>IFERROR(VLOOKUP(D24,'UCL SS 3ed'!$C$3:$F$24,3,FALSE),0)</f>
        <v>1</v>
      </c>
      <c r="W24" s="61">
        <f>IFERROR(VLOOKUP(D24,'UCL SS 3ed'!$C$3:$F$24,4,FALSE),0)</f>
        <v>1</v>
      </c>
      <c r="X24" s="64">
        <f>IFERROR(V24/U24,0)</f>
        <v>0.5</v>
      </c>
      <c r="Y24" s="199">
        <f>E24+I24+M24+Q24+U24</f>
        <v>13</v>
      </c>
      <c r="Z24" s="200">
        <f>F24+J24+N24+R24+V24</f>
        <v>6</v>
      </c>
      <c r="AA24" s="200">
        <f>G24+K24+O24+S24+W24</f>
        <v>7</v>
      </c>
      <c r="AB24" s="201">
        <f>Z24/Y24</f>
        <v>0.46153846153846156</v>
      </c>
    </row>
    <row r="25" spans="2:29" x14ac:dyDescent="0.35">
      <c r="B25" s="143">
        <v>21</v>
      </c>
      <c r="C25" s="144" t="s">
        <v>38</v>
      </c>
      <c r="D25" s="145" t="s">
        <v>67</v>
      </c>
      <c r="E25" s="95">
        <f>IFERROR((VLOOKUP(D25,'UCL SS'!$C$3:$D$31,2,FALSE)),0)</f>
        <v>3</v>
      </c>
      <c r="F25" s="43">
        <f>IFERROR(VLOOKUP(D25,'UCL SS'!$C$3:$E$31,3,FALSE),0)</f>
        <v>0</v>
      </c>
      <c r="G25" s="43">
        <f>IFERROR(VLOOKUP(D25,'UCL SS'!$C$3:$F$31,4,FALSE),0)</f>
        <v>3</v>
      </c>
      <c r="H25" s="64">
        <f>IFERROR(F25/E25,0)</f>
        <v>0</v>
      </c>
      <c r="I25" s="67">
        <f>IFERROR(VLOOKUP(D25,'UCL WS'!$C$3:$F$35,2,FALSE),0)</f>
        <v>0</v>
      </c>
      <c r="J25" s="44">
        <f>IFERROR(VLOOKUP(D25,'UCL WS'!$C$3:$F$35,3,FALSE),0)</f>
        <v>0</v>
      </c>
      <c r="K25" s="45">
        <f>IFERROR(VLOOKUP(D25,'UCL WS'!$C$3:$F$35,4,FALSE),0)</f>
        <v>0</v>
      </c>
      <c r="L25" s="83">
        <f>IFERROR(J25/I25,0)</f>
        <v>0</v>
      </c>
      <c r="M25" s="63">
        <f>IFERROR(VLOOKUP(D25,'UCL SS 2ed'!$C$3:$F$50,2,FALSE),0)</f>
        <v>4</v>
      </c>
      <c r="N25" s="43">
        <f>IFERROR(VLOOKUP(D25,'UCL SS 2ed'!$C$3:$F$50,3,FALSE),0)</f>
        <v>2</v>
      </c>
      <c r="O25" s="61">
        <f>IFERROR(VLOOKUP(D25,'UCL SS 2ed'!$C$3:$F$50,4,FALSE),0)</f>
        <v>2</v>
      </c>
      <c r="P25" s="87">
        <f>IFERROR(N25/M25,0)</f>
        <v>0.5</v>
      </c>
      <c r="Q25" s="89">
        <f>+_xlfn.XLOOKUP(D25,'UCL WS 2ed'!$C$3:$C$37,'UCL WS 2ed'!$D$3:$D$37,0,0)</f>
        <v>0</v>
      </c>
      <c r="R25" s="45">
        <f>+_xlfn.XLOOKUP(D25,'UCL WS 2ed'!$C$3:$C$37,'UCL WS 2ed'!$E$3:$E$37,0,0)</f>
        <v>0</v>
      </c>
      <c r="S25" s="45">
        <f>+_xlfn.XLOOKUP(D25,'UCL WS 2ed'!$C$3:$C$37,'UCL WS 2ed'!$F$3:$F$37,0)</f>
        <v>0</v>
      </c>
      <c r="T25" s="83">
        <f>IFERROR(R25/Q25,0)</f>
        <v>0</v>
      </c>
      <c r="U25" s="63">
        <f>IFERROR(VLOOKUP(D25,'UCL SS 3ed'!$C$3:$F$24,2,FALSE),0)</f>
        <v>4</v>
      </c>
      <c r="V25" s="43">
        <f>IFERROR(VLOOKUP(D25,'UCL SS 3ed'!$C$3:$F$24,3,FALSE),0)</f>
        <v>2</v>
      </c>
      <c r="W25" s="61">
        <f>IFERROR(VLOOKUP(D25,'UCL SS 3ed'!$C$3:$F$24,4,FALSE),0)</f>
        <v>2</v>
      </c>
      <c r="X25" s="64">
        <f>IFERROR(V25/U25,0)</f>
        <v>0.5</v>
      </c>
      <c r="Y25" s="199">
        <f>E25+I25+M25+Q25+U25</f>
        <v>11</v>
      </c>
      <c r="Z25" s="200">
        <f>F25+J25+N25+R25+V25</f>
        <v>4</v>
      </c>
      <c r="AA25" s="200">
        <f>G25+K25+O25+S25+W25</f>
        <v>7</v>
      </c>
      <c r="AB25" s="201">
        <f>Z25/Y25</f>
        <v>0.36363636363636365</v>
      </c>
    </row>
    <row r="26" spans="2:29" x14ac:dyDescent="0.35">
      <c r="B26" s="106">
        <v>22</v>
      </c>
      <c r="C26" s="11" t="s">
        <v>149</v>
      </c>
      <c r="D26" s="107" t="s">
        <v>150</v>
      </c>
      <c r="E26" s="95">
        <f>IFERROR((VLOOKUP(D26,'UCL SS'!$C$3:$D$31,2,FALSE)),0)</f>
        <v>0</v>
      </c>
      <c r="F26" s="43">
        <f>IFERROR(VLOOKUP(D26,'UCL SS'!$C$3:$E$31,3,FALSE),0)</f>
        <v>0</v>
      </c>
      <c r="G26" s="43">
        <f>IFERROR(VLOOKUP(D26,'UCL SS'!$C$3:$F$31,4,FALSE),0)</f>
        <v>0</v>
      </c>
      <c r="H26" s="64">
        <f>IFERROR(F26/E26,0)</f>
        <v>0</v>
      </c>
      <c r="I26" s="67">
        <f>IFERROR(VLOOKUP(D26,'UCL WS'!$C$3:$F$35,2,FALSE),0)</f>
        <v>5</v>
      </c>
      <c r="J26" s="44">
        <f>IFERROR(VLOOKUP(D26,'UCL WS'!$C$3:$F$35,3,FALSE),0)</f>
        <v>2</v>
      </c>
      <c r="K26" s="45">
        <f>IFERROR(VLOOKUP(D26,'UCL WS'!$C$3:$F$35,4,FALSE),0)</f>
        <v>3</v>
      </c>
      <c r="L26" s="83">
        <f>IFERROR(J26/I26,0)</f>
        <v>0.4</v>
      </c>
      <c r="M26" s="63">
        <f>IFERROR(VLOOKUP(D26,'UCL SS 2ed'!$C$3:$F$50,2,FALSE),0)</f>
        <v>4</v>
      </c>
      <c r="N26" s="43">
        <f>IFERROR(VLOOKUP(D26,'UCL SS 2ed'!$C$3:$F$50,3,FALSE),0)</f>
        <v>3</v>
      </c>
      <c r="O26" s="61">
        <f>IFERROR(VLOOKUP(D26,'UCL SS 2ed'!$C$3:$F$50,4,FALSE),0)</f>
        <v>1</v>
      </c>
      <c r="P26" s="87">
        <f>IFERROR(N26/M26,0)</f>
        <v>0.75</v>
      </c>
      <c r="Q26" s="89">
        <f>+_xlfn.XLOOKUP(D26,'UCL WS 2ed'!$C$3:$C$37,'UCL WS 2ed'!$D$3:$D$37,0,0)</f>
        <v>0</v>
      </c>
      <c r="R26" s="45">
        <f>+_xlfn.XLOOKUP(D26,'UCL WS 2ed'!$C$3:$C$37,'UCL WS 2ed'!$E$3:$E$37,0,0)</f>
        <v>0</v>
      </c>
      <c r="S26" s="45">
        <f>+_xlfn.XLOOKUP(D26,'UCL WS 2ed'!$C$3:$C$37,'UCL WS 2ed'!$F$3:$F$37,0)</f>
        <v>0</v>
      </c>
      <c r="T26" s="83">
        <f>IFERROR(R26/Q26,0)</f>
        <v>0</v>
      </c>
      <c r="U26" s="63">
        <f>IFERROR(VLOOKUP(D26,'UCL SS 3ed'!$C$3:$F$24,2,FALSE),0)</f>
        <v>0</v>
      </c>
      <c r="V26" s="43">
        <f>IFERROR(VLOOKUP(D26,'UCL SS 3ed'!$C$3:$F$24,3,FALSE),0)</f>
        <v>0</v>
      </c>
      <c r="W26" s="61">
        <f>IFERROR(VLOOKUP(D26,'UCL SS 3ed'!$C$3:$F$24,4,FALSE),0)</f>
        <v>0</v>
      </c>
      <c r="X26" s="64">
        <f>IFERROR(V26/U26,0)</f>
        <v>0</v>
      </c>
      <c r="Y26" s="123">
        <f>E26+I26+M26+Q26+U26</f>
        <v>9</v>
      </c>
      <c r="Z26" s="46">
        <f>F26+J26+N26+R26+V26</f>
        <v>5</v>
      </c>
      <c r="AA26" s="46">
        <f>G26+K26+O26+S26+W26</f>
        <v>4</v>
      </c>
      <c r="AB26" s="47">
        <f>Z26/Y26</f>
        <v>0.55555555555555558</v>
      </c>
      <c r="AC26" t="s">
        <v>322</v>
      </c>
    </row>
    <row r="27" spans="2:29" x14ac:dyDescent="0.35">
      <c r="B27" s="85">
        <v>22</v>
      </c>
      <c r="C27" s="4" t="s">
        <v>170</v>
      </c>
      <c r="D27" s="86" t="s">
        <v>170</v>
      </c>
      <c r="E27" s="95">
        <f>IFERROR((VLOOKUP(D27,'UCL SS'!$C$3:$D$31,2,FALSE)),0)</f>
        <v>0</v>
      </c>
      <c r="F27" s="43">
        <f>IFERROR(VLOOKUP(D27,'UCL SS'!$C$3:$E$31,3,FALSE),0)</f>
        <v>0</v>
      </c>
      <c r="G27" s="43">
        <f>IFERROR(VLOOKUP(D27,'UCL SS'!$C$3:$F$31,4,FALSE),0)</f>
        <v>0</v>
      </c>
      <c r="H27" s="64">
        <f>IFERROR(F27/E27,0)</f>
        <v>0</v>
      </c>
      <c r="I27" s="67">
        <f>IFERROR(VLOOKUP(D27,'UCL WS'!$C$3:$F$35,2,FALSE),0)</f>
        <v>3</v>
      </c>
      <c r="J27" s="44">
        <f>IFERROR(VLOOKUP(D27,'UCL WS'!$C$3:$F$35,3,FALSE),0)</f>
        <v>1</v>
      </c>
      <c r="K27" s="45">
        <f>IFERROR(VLOOKUP(D27,'UCL WS'!$C$3:$F$35,4,FALSE),0)</f>
        <v>2</v>
      </c>
      <c r="L27" s="83">
        <f>IFERROR(J27/I27,0)</f>
        <v>0.33333333333333331</v>
      </c>
      <c r="M27" s="63">
        <f>IFERROR(VLOOKUP(D27,'UCL SS 2ed'!$C$3:$F$50,2,FALSE),0)</f>
        <v>6</v>
      </c>
      <c r="N27" s="43">
        <f>IFERROR(VLOOKUP(D27,'UCL SS 2ed'!$C$3:$F$50,3,FALSE),0)</f>
        <v>3</v>
      </c>
      <c r="O27" s="61">
        <f>IFERROR(VLOOKUP(D27,'UCL SS 2ed'!$C$3:$F$50,4,FALSE),0)</f>
        <v>3</v>
      </c>
      <c r="P27" s="87">
        <f>IFERROR(N27/M27,0)</f>
        <v>0.5</v>
      </c>
      <c r="Q27" s="89">
        <f>+_xlfn.XLOOKUP(D27,'UCL WS 2ed'!$C$3:$C$37,'UCL WS 2ed'!$D$3:$D$37,0,0)</f>
        <v>0</v>
      </c>
      <c r="R27" s="45">
        <f>+_xlfn.XLOOKUP(D27,'UCL WS 2ed'!$C$3:$C$37,'UCL WS 2ed'!$E$3:$E$37,0,0)</f>
        <v>0</v>
      </c>
      <c r="S27" s="45">
        <f>+_xlfn.XLOOKUP(D27,'UCL WS 2ed'!$C$3:$C$37,'UCL WS 2ed'!$F$3:$F$37,0)</f>
        <v>0</v>
      </c>
      <c r="T27" s="83">
        <f>IFERROR(R27/Q27,0)</f>
        <v>0</v>
      </c>
      <c r="U27" s="63">
        <f>IFERROR(VLOOKUP(D27,'UCL SS 3ed'!$C$3:$F$24,2,FALSE),0)</f>
        <v>0</v>
      </c>
      <c r="V27" s="43">
        <f>IFERROR(VLOOKUP(D27,'UCL SS 3ed'!$C$3:$F$24,3,FALSE),0)</f>
        <v>0</v>
      </c>
      <c r="W27" s="61">
        <f>IFERROR(VLOOKUP(D27,'UCL SS 3ed'!$C$3:$F$24,4,FALSE),0)</f>
        <v>0</v>
      </c>
      <c r="X27" s="64">
        <f>IFERROR(V27/U27,0)</f>
        <v>0</v>
      </c>
      <c r="Y27" s="123">
        <f>E27+I27+M27+Q27+U27</f>
        <v>9</v>
      </c>
      <c r="Z27" s="46">
        <f>F27+J27+N27+R27+V27</f>
        <v>4</v>
      </c>
      <c r="AA27" s="46">
        <f>G27+K27+O27+S27+W27</f>
        <v>5</v>
      </c>
      <c r="AB27" s="47">
        <f>Z27/Y27</f>
        <v>0.44444444444444442</v>
      </c>
    </row>
    <row r="28" spans="2:29" x14ac:dyDescent="0.35">
      <c r="B28" s="106">
        <v>24</v>
      </c>
      <c r="C28" s="11" t="s">
        <v>216</v>
      </c>
      <c r="D28" s="107" t="s">
        <v>217</v>
      </c>
      <c r="E28" s="95">
        <f>IFERROR((VLOOKUP(D28,'UCL SS'!$C$3:$D$31,2,FALSE)),0)</f>
        <v>0</v>
      </c>
      <c r="F28" s="43">
        <f>IFERROR(VLOOKUP(D28,'UCL SS'!$C$3:$E$31,3,FALSE),0)</f>
        <v>0</v>
      </c>
      <c r="G28" s="43">
        <f>IFERROR(VLOOKUP(D28,'UCL SS'!$C$3:$F$31,4,FALSE),0)</f>
        <v>0</v>
      </c>
      <c r="H28" s="64">
        <f>IFERROR(F28/E28,0)</f>
        <v>0</v>
      </c>
      <c r="I28" s="67">
        <f>IFERROR(VLOOKUP(D28,'UCL WS'!$C$3:$F$35,2,FALSE),0)</f>
        <v>0</v>
      </c>
      <c r="J28" s="44">
        <f>IFERROR(VLOOKUP(D28,'UCL WS'!$C$3:$F$35,3,FALSE),0)</f>
        <v>0</v>
      </c>
      <c r="K28" s="45">
        <f>IFERROR(VLOOKUP(D28,'UCL WS'!$C$3:$F$35,4,FALSE),0)</f>
        <v>0</v>
      </c>
      <c r="L28" s="83">
        <f>IFERROR(J28/I28,0)</f>
        <v>0</v>
      </c>
      <c r="M28" s="63">
        <f>IFERROR(VLOOKUP(D28,'UCL SS 2ed'!$C$3:$F$50,2,FALSE),0)</f>
        <v>2</v>
      </c>
      <c r="N28" s="43">
        <f>IFERROR(VLOOKUP(D28,'UCL SS 2ed'!$C$3:$F$50,3,FALSE),0)</f>
        <v>1</v>
      </c>
      <c r="O28" s="61">
        <f>IFERROR(VLOOKUP(D28,'UCL SS 2ed'!$C$3:$F$50,4,FALSE),0)</f>
        <v>1</v>
      </c>
      <c r="P28" s="87">
        <f>IFERROR(N28/M28,0)</f>
        <v>0.5</v>
      </c>
      <c r="Q28" s="89">
        <f>+_xlfn.XLOOKUP(D28,'UCL WS 2ed'!$C$3:$C$37,'UCL WS 2ed'!$D$3:$D$37,0,0)</f>
        <v>5</v>
      </c>
      <c r="R28" s="45">
        <f>+_xlfn.XLOOKUP(D28,'UCL WS 2ed'!$C$3:$C$37,'UCL WS 2ed'!$E$3:$E$37,0,0)</f>
        <v>4</v>
      </c>
      <c r="S28" s="45">
        <f>+_xlfn.XLOOKUP(D28,'UCL WS 2ed'!$C$3:$C$37,'UCL WS 2ed'!$F$3:$F$37,0)</f>
        <v>1</v>
      </c>
      <c r="T28" s="83">
        <f>IFERROR(R28/Q28,0)</f>
        <v>0.8</v>
      </c>
      <c r="U28" s="63">
        <f>IFERROR(VLOOKUP(D28,'UCL SS 3ed'!$C$3:$F$24,2,FALSE),0)</f>
        <v>1</v>
      </c>
      <c r="V28" s="43">
        <f>IFERROR(VLOOKUP(D28,'UCL SS 3ed'!$C$3:$F$24,3,FALSE),0)</f>
        <v>0</v>
      </c>
      <c r="W28" s="61">
        <f>IFERROR(VLOOKUP(D28,'UCL SS 3ed'!$C$3:$F$24,4,FALSE),0)</f>
        <v>1</v>
      </c>
      <c r="X28" s="64">
        <f>IFERROR(V28/U28,0)</f>
        <v>0</v>
      </c>
      <c r="Y28" s="123">
        <f>E28+I28+M28+Q28+U28</f>
        <v>8</v>
      </c>
      <c r="Z28" s="46">
        <f>F28+J28+N28+R28+V28</f>
        <v>5</v>
      </c>
      <c r="AA28" s="46">
        <f>G28+K28+O28+S28+W28</f>
        <v>3</v>
      </c>
      <c r="AB28" s="47">
        <f>Z28/Y28</f>
        <v>0.625</v>
      </c>
    </row>
    <row r="29" spans="2:29" x14ac:dyDescent="0.35">
      <c r="B29" s="85">
        <v>25</v>
      </c>
      <c r="C29" s="4" t="s">
        <v>120</v>
      </c>
      <c r="D29" s="86" t="s">
        <v>64</v>
      </c>
      <c r="E29" s="95">
        <f>IFERROR((VLOOKUP(D29,'UCL SS'!$C$3:$D$31,2,FALSE)),0)</f>
        <v>4</v>
      </c>
      <c r="F29" s="43">
        <f>IFERROR(VLOOKUP(D29,'UCL SS'!$C$3:$E$31,3,FALSE),0)</f>
        <v>3</v>
      </c>
      <c r="G29" s="43">
        <f>IFERROR(VLOOKUP(D29,'UCL SS'!$C$3:$F$31,4,FALSE),0)</f>
        <v>1</v>
      </c>
      <c r="H29" s="64">
        <f>IFERROR(F29/E29,0)</f>
        <v>0.75</v>
      </c>
      <c r="I29" s="67">
        <f>IFERROR(VLOOKUP(D29,'UCL WS'!$C$3:$F$35,2,FALSE),0)</f>
        <v>0</v>
      </c>
      <c r="J29" s="44">
        <f>IFERROR(VLOOKUP(D29,'UCL WS'!$C$3:$F$35,3,FALSE),0)</f>
        <v>0</v>
      </c>
      <c r="K29" s="45">
        <f>IFERROR(VLOOKUP(D29,'UCL WS'!$C$3:$F$35,4,FALSE),0)</f>
        <v>0</v>
      </c>
      <c r="L29" s="83">
        <f>IFERROR(J29/I29,0)</f>
        <v>0</v>
      </c>
      <c r="M29" s="63">
        <f>IFERROR(VLOOKUP(D29,'UCL SS 2ed'!$C$3:$F$50,2,FALSE),0)</f>
        <v>1</v>
      </c>
      <c r="N29" s="43">
        <f>IFERROR(VLOOKUP(D29,'UCL SS 2ed'!$C$3:$F$50,3,FALSE),0)</f>
        <v>0</v>
      </c>
      <c r="O29" s="61">
        <f>IFERROR(VLOOKUP(D29,'UCL SS 2ed'!$C$3:$F$50,4,FALSE),0)</f>
        <v>1</v>
      </c>
      <c r="P29" s="87">
        <f>IFERROR(N29/M29,0)</f>
        <v>0</v>
      </c>
      <c r="Q29" s="89">
        <f>+_xlfn.XLOOKUP(D29,'UCL WS 2ed'!$C$3:$C$37,'UCL WS 2ed'!$D$3:$D$37,0,0)</f>
        <v>2</v>
      </c>
      <c r="R29" s="45">
        <f>+_xlfn.XLOOKUP(D29,'UCL WS 2ed'!$C$3:$C$37,'UCL WS 2ed'!$E$3:$E$37,0,0)</f>
        <v>1</v>
      </c>
      <c r="S29" s="45">
        <f>+_xlfn.XLOOKUP(D29,'UCL WS 2ed'!$C$3:$C$37,'UCL WS 2ed'!$F$3:$F$37,0)</f>
        <v>1</v>
      </c>
      <c r="T29" s="83">
        <f>IFERROR(R29/Q29,0)</f>
        <v>0.5</v>
      </c>
      <c r="U29" s="63">
        <f>IFERROR(VLOOKUP(D29,'UCL SS 3ed'!$C$3:$F$24,2,FALSE),0)</f>
        <v>0</v>
      </c>
      <c r="V29" s="43">
        <f>IFERROR(VLOOKUP(D29,'UCL SS 3ed'!$C$3:$F$24,3,FALSE),0)</f>
        <v>0</v>
      </c>
      <c r="W29" s="61">
        <f>IFERROR(VLOOKUP(D29,'UCL SS 3ed'!$C$3:$F$24,4,FALSE),0)</f>
        <v>0</v>
      </c>
      <c r="X29" s="64">
        <f>IFERROR(V29/U29,0)</f>
        <v>0</v>
      </c>
      <c r="Y29" s="123">
        <f>E29+I29+M29+Q29+U29</f>
        <v>7</v>
      </c>
      <c r="Z29" s="46">
        <f>F29+J29+N29+R29+V29</f>
        <v>4</v>
      </c>
      <c r="AA29" s="46">
        <f>G29+K29+O29+S29+W29</f>
        <v>3</v>
      </c>
      <c r="AB29" s="47">
        <f>Z29/Y29</f>
        <v>0.5714285714285714</v>
      </c>
    </row>
    <row r="30" spans="2:29" x14ac:dyDescent="0.35">
      <c r="B30" s="106">
        <v>26</v>
      </c>
      <c r="C30" s="11" t="s">
        <v>207</v>
      </c>
      <c r="D30" s="107" t="s">
        <v>208</v>
      </c>
      <c r="E30" s="95">
        <f>IFERROR((VLOOKUP(D30,'UCL SS'!$C$3:$D$31,2,FALSE)),0)</f>
        <v>0</v>
      </c>
      <c r="F30" s="43">
        <f>IFERROR(VLOOKUP(D30,'UCL SS'!$C$3:$E$31,3,FALSE),0)</f>
        <v>0</v>
      </c>
      <c r="G30" s="43">
        <f>IFERROR(VLOOKUP(D30,'UCL SS'!$C$3:$F$31,4,FALSE),0)</f>
        <v>0</v>
      </c>
      <c r="H30" s="64">
        <f>IFERROR(F30/E30,0)</f>
        <v>0</v>
      </c>
      <c r="I30" s="67">
        <f>IFERROR(VLOOKUP(D30,'UCL WS'!$C$3:$F$35,2,FALSE),0)</f>
        <v>0</v>
      </c>
      <c r="J30" s="44">
        <f>IFERROR(VLOOKUP(D30,'UCL WS'!$C$3:$F$35,3,FALSE),0)</f>
        <v>0</v>
      </c>
      <c r="K30" s="45">
        <f>IFERROR(VLOOKUP(D30,'UCL WS'!$C$3:$F$35,4,FALSE),0)</f>
        <v>0</v>
      </c>
      <c r="L30" s="83">
        <f>IFERROR(J30/I30,0)</f>
        <v>0</v>
      </c>
      <c r="M30" s="63">
        <f>IFERROR(VLOOKUP(D30,'UCL SS 2ed'!$C$3:$F$50,2,FALSE),0)</f>
        <v>1</v>
      </c>
      <c r="N30" s="43">
        <f>IFERROR(VLOOKUP(D30,'UCL SS 2ed'!$C$3:$F$50,3,FALSE),0)</f>
        <v>0</v>
      </c>
      <c r="O30" s="61">
        <f>IFERROR(VLOOKUP(D30,'UCL SS 2ed'!$C$3:$F$50,4,FALSE),0)</f>
        <v>1</v>
      </c>
      <c r="P30" s="87">
        <f>IFERROR(N30/M30,0)</f>
        <v>0</v>
      </c>
      <c r="Q30" s="89">
        <f>+_xlfn.XLOOKUP(D30,'UCL WS 2ed'!$C$3:$C$37,'UCL WS 2ed'!$D$3:$D$37,0,0)</f>
        <v>5</v>
      </c>
      <c r="R30" s="45">
        <f>+_xlfn.XLOOKUP(D30,'UCL WS 2ed'!$C$3:$C$37,'UCL WS 2ed'!$E$3:$E$37,0,0)</f>
        <v>1</v>
      </c>
      <c r="S30" s="45">
        <f>+_xlfn.XLOOKUP(D30,'UCL WS 2ed'!$C$3:$C$37,'UCL WS 2ed'!$F$3:$F$37,0)</f>
        <v>4</v>
      </c>
      <c r="T30" s="83">
        <f>IFERROR(R30/Q30,0)</f>
        <v>0.2</v>
      </c>
      <c r="U30" s="63">
        <f>IFERROR(VLOOKUP(D30,'UCL SS 3ed'!$C$3:$F$24,2,FALSE),0)</f>
        <v>0</v>
      </c>
      <c r="V30" s="43">
        <f>IFERROR(VLOOKUP(D30,'UCL SS 3ed'!$C$3:$F$24,3,FALSE),0)</f>
        <v>0</v>
      </c>
      <c r="W30" s="61">
        <f>IFERROR(VLOOKUP(D30,'UCL SS 3ed'!$C$3:$F$24,4,FALSE),0)</f>
        <v>0</v>
      </c>
      <c r="X30" s="64">
        <f>IFERROR(V30/U30,0)</f>
        <v>0</v>
      </c>
      <c r="Y30" s="123">
        <f>E30+I30+M30+Q30+U30</f>
        <v>6</v>
      </c>
      <c r="Z30" s="46">
        <f>F30+J30+N30+R30+V30</f>
        <v>1</v>
      </c>
      <c r="AA30" s="46">
        <f>G30+K30+O30+S30+W30</f>
        <v>5</v>
      </c>
      <c r="AB30" s="47">
        <f>Z30/Y30</f>
        <v>0.16666666666666666</v>
      </c>
    </row>
    <row r="31" spans="2:29" x14ac:dyDescent="0.35">
      <c r="B31" s="106">
        <v>26</v>
      </c>
      <c r="C31" s="11"/>
      <c r="D31" s="107" t="s">
        <v>265</v>
      </c>
      <c r="E31" s="95">
        <f>IFERROR((VLOOKUP(D31,'UCL SS'!$C$3:$D$31,2,FALSE)),0)</f>
        <v>0</v>
      </c>
      <c r="F31" s="43">
        <f>IFERROR(VLOOKUP(D31,'UCL SS'!$C$3:$E$31,3,FALSE),0)</f>
        <v>0</v>
      </c>
      <c r="G31" s="43">
        <f>IFERROR(VLOOKUP(D31,'UCL SS'!$C$3:$F$31,4,FALSE),0)</f>
        <v>0</v>
      </c>
      <c r="H31" s="64">
        <f>IFERROR(F31/E31,0)</f>
        <v>0</v>
      </c>
      <c r="I31" s="67">
        <f>IFERROR(VLOOKUP(D31,'UCL WS'!$C$3:$F$35,2,FALSE),0)</f>
        <v>0</v>
      </c>
      <c r="J31" s="44">
        <f>IFERROR(VLOOKUP(D31,'UCL WS'!$C$3:$F$35,3,FALSE),0)</f>
        <v>0</v>
      </c>
      <c r="K31" s="45">
        <f>IFERROR(VLOOKUP(D31,'UCL WS'!$C$3:$F$35,4,FALSE),0)</f>
        <v>0</v>
      </c>
      <c r="L31" s="83">
        <f>IFERROR(J31/I31,0)</f>
        <v>0</v>
      </c>
      <c r="M31" s="63">
        <f>IFERROR(VLOOKUP(D31,'UCL SS 2ed'!$C$3:$F$50,2,FALSE),0)</f>
        <v>0</v>
      </c>
      <c r="N31" s="43">
        <f>IFERROR(VLOOKUP(D31,'UCL SS 2ed'!$C$3:$F$50,3,FALSE),0)</f>
        <v>0</v>
      </c>
      <c r="O31" s="61">
        <f>IFERROR(VLOOKUP(D31,'UCL SS 2ed'!$C$3:$F$50,4,FALSE),0)</f>
        <v>0</v>
      </c>
      <c r="P31" s="87">
        <f>IFERROR(N31/M31,0)</f>
        <v>0</v>
      </c>
      <c r="Q31" s="89">
        <f>+_xlfn.XLOOKUP(D31,'UCL WS 2ed'!$C$3:$C$37,'UCL WS 2ed'!$D$3:$D$37,0,0)</f>
        <v>4</v>
      </c>
      <c r="R31" s="45">
        <f>+_xlfn.XLOOKUP(D31,'UCL WS 2ed'!$C$3:$C$37,'UCL WS 2ed'!$E$3:$E$37,0,0)</f>
        <v>3</v>
      </c>
      <c r="S31" s="45">
        <f>+_xlfn.XLOOKUP(D31,'UCL WS 2ed'!$C$3:$C$37,'UCL WS 2ed'!$F$3:$F$37,0)</f>
        <v>1</v>
      </c>
      <c r="T31" s="83">
        <f>IFERROR(R31/Q31,0)</f>
        <v>0.75</v>
      </c>
      <c r="U31" s="63">
        <f>IFERROR(VLOOKUP(D31,'UCL SS 3ed'!$C$3:$F$24,2,FALSE),0)</f>
        <v>2</v>
      </c>
      <c r="V31" s="43">
        <f>IFERROR(VLOOKUP(D31,'UCL SS 3ed'!$C$3:$F$24,3,FALSE),0)</f>
        <v>1</v>
      </c>
      <c r="W31" s="61">
        <f>IFERROR(VLOOKUP(D31,'UCL SS 3ed'!$C$3:$F$24,4,FALSE),0)</f>
        <v>1</v>
      </c>
      <c r="X31" s="64">
        <f>IFERROR(V31/U31,0)</f>
        <v>0.5</v>
      </c>
      <c r="Y31" s="123">
        <f>E31+I31+M31+Q31+U31</f>
        <v>6</v>
      </c>
      <c r="Z31" s="46">
        <f>F31+J31+N31+R31+V31</f>
        <v>4</v>
      </c>
      <c r="AA31" s="46">
        <f>G31+K31+O31+S31+W31</f>
        <v>2</v>
      </c>
      <c r="AB31" s="47">
        <f>Z31/Y31</f>
        <v>0.66666666666666663</v>
      </c>
    </row>
    <row r="32" spans="2:29" x14ac:dyDescent="0.35">
      <c r="B32" s="85">
        <v>28</v>
      </c>
      <c r="C32" s="4" t="s">
        <v>141</v>
      </c>
      <c r="D32" s="86" t="s">
        <v>142</v>
      </c>
      <c r="E32" s="95">
        <f>IFERROR((VLOOKUP(D32,'UCL SS'!$C$3:$D$31,2,FALSE)),0)</f>
        <v>0</v>
      </c>
      <c r="F32" s="43">
        <f>IFERROR(VLOOKUP(D32,'UCL SS'!$C$3:$E$31,3,FALSE),0)</f>
        <v>0</v>
      </c>
      <c r="G32" s="43">
        <f>IFERROR(VLOOKUP(D32,'UCL SS'!$C$3:$F$31,4,FALSE),0)</f>
        <v>0</v>
      </c>
      <c r="H32" s="64">
        <f>IFERROR(F32/E32,0)</f>
        <v>0</v>
      </c>
      <c r="I32" s="67">
        <f>IFERROR(VLOOKUP(D32,'UCL WS'!$C$3:$F$35,2,FALSE),0)</f>
        <v>5</v>
      </c>
      <c r="J32" s="44">
        <f>IFERROR(VLOOKUP(D32,'UCL WS'!$C$3:$F$35,3,FALSE),0)</f>
        <v>2</v>
      </c>
      <c r="K32" s="45">
        <f>IFERROR(VLOOKUP(D32,'UCL WS'!$C$3:$F$35,4,FALSE),0)</f>
        <v>3</v>
      </c>
      <c r="L32" s="83">
        <f>IFERROR(J32/I32,0)</f>
        <v>0.4</v>
      </c>
      <c r="M32" s="63">
        <f>IFERROR(VLOOKUP(D32,'UCL SS 2ed'!$C$3:$F$50,2,FALSE),0)</f>
        <v>0</v>
      </c>
      <c r="N32" s="43">
        <f>IFERROR(VLOOKUP(D32,'UCL SS 2ed'!$C$3:$F$50,3,FALSE),0)</f>
        <v>0</v>
      </c>
      <c r="O32" s="61">
        <f>IFERROR(VLOOKUP(D32,'UCL SS 2ed'!$C$3:$F$50,4,FALSE),0)</f>
        <v>0</v>
      </c>
      <c r="P32" s="87">
        <f>IFERROR(N32/M32,0)</f>
        <v>0</v>
      </c>
      <c r="Q32" s="89">
        <f>+_xlfn.XLOOKUP(D32,'UCL WS 2ed'!$C$3:$C$37,'UCL WS 2ed'!$D$3:$D$37,0,0)</f>
        <v>0</v>
      </c>
      <c r="R32" s="45">
        <f>+_xlfn.XLOOKUP(D32,'UCL WS 2ed'!$C$3:$C$37,'UCL WS 2ed'!$E$3:$E$37,0,0)</f>
        <v>0</v>
      </c>
      <c r="S32" s="45">
        <f>+_xlfn.XLOOKUP(D32,'UCL WS 2ed'!$C$3:$C$37,'UCL WS 2ed'!$F$3:$F$37,0)</f>
        <v>0</v>
      </c>
      <c r="T32" s="83">
        <f>IFERROR(R32/Q32,0)</f>
        <v>0</v>
      </c>
      <c r="U32" s="63">
        <f>IFERROR(VLOOKUP(D32,'UCL SS 3ed'!$C$3:$F$24,2,FALSE),0)</f>
        <v>0</v>
      </c>
      <c r="V32" s="43">
        <f>IFERROR(VLOOKUP(D32,'UCL SS 3ed'!$C$3:$F$24,3,FALSE),0)</f>
        <v>0</v>
      </c>
      <c r="W32" s="61">
        <f>IFERROR(VLOOKUP(D32,'UCL SS 3ed'!$C$3:$F$24,4,FALSE),0)</f>
        <v>0</v>
      </c>
      <c r="X32" s="64">
        <f>IFERROR(V32/U32,0)</f>
        <v>0</v>
      </c>
      <c r="Y32" s="123">
        <f>E32+I32+M32+Q32+U32</f>
        <v>5</v>
      </c>
      <c r="Z32" s="46">
        <f>F32+J32+N32+R32+V32</f>
        <v>2</v>
      </c>
      <c r="AA32" s="46">
        <f>G32+K32+O32+S32+W32</f>
        <v>3</v>
      </c>
      <c r="AB32" s="47">
        <f>Z32/Y32</f>
        <v>0.4</v>
      </c>
      <c r="AC32" t="s">
        <v>271</v>
      </c>
    </row>
    <row r="33" spans="2:29" x14ac:dyDescent="0.35">
      <c r="B33" s="106">
        <v>28</v>
      </c>
      <c r="C33" s="11" t="s">
        <v>249</v>
      </c>
      <c r="D33" s="107" t="s">
        <v>250</v>
      </c>
      <c r="E33" s="95">
        <f>IFERROR((VLOOKUP(D33,'UCL SS'!$C$3:$D$31,2,FALSE)),0)</f>
        <v>0</v>
      </c>
      <c r="F33" s="43">
        <f>IFERROR(VLOOKUP(D33,'UCL SS'!$C$3:$E$31,3,FALSE),0)</f>
        <v>0</v>
      </c>
      <c r="G33" s="43">
        <f>IFERROR(VLOOKUP(D33,'UCL SS'!$C$3:$F$31,4,FALSE),0)</f>
        <v>0</v>
      </c>
      <c r="H33" s="64">
        <f>IFERROR(F33/E33,0)</f>
        <v>0</v>
      </c>
      <c r="I33" s="67">
        <f>IFERROR(VLOOKUP(D33,'UCL WS'!$C$3:$F$35,2,FALSE),0)</f>
        <v>0</v>
      </c>
      <c r="J33" s="44">
        <f>IFERROR(VLOOKUP(D33,'UCL WS'!$C$3:$F$35,3,FALSE),0)</f>
        <v>0</v>
      </c>
      <c r="K33" s="45">
        <f>IFERROR(VLOOKUP(D33,'UCL WS'!$C$3:$F$35,4,FALSE),0)</f>
        <v>0</v>
      </c>
      <c r="L33" s="83">
        <f>IFERROR(J33/I33,0)</f>
        <v>0</v>
      </c>
      <c r="M33" s="63">
        <f>IFERROR(VLOOKUP(D33,'UCL SS 2ed'!$C$3:$F$50,2,FALSE),0)</f>
        <v>0</v>
      </c>
      <c r="N33" s="43">
        <f>IFERROR(VLOOKUP(D33,'UCL SS 2ed'!$C$3:$F$50,3,FALSE),0)</f>
        <v>0</v>
      </c>
      <c r="O33" s="61">
        <f>IFERROR(VLOOKUP(D33,'UCL SS 2ed'!$C$3:$F$50,4,FALSE),0)</f>
        <v>0</v>
      </c>
      <c r="P33" s="87">
        <f>IFERROR(N33/M33,0)</f>
        <v>0</v>
      </c>
      <c r="Q33" s="89">
        <f>+_xlfn.XLOOKUP(D33,'UCL WS 2ed'!$C$3:$C$37,'UCL WS 2ed'!$D$3:$D$37,0,0)</f>
        <v>5</v>
      </c>
      <c r="R33" s="45">
        <f>+_xlfn.XLOOKUP(D33,'UCL WS 2ed'!$C$3:$C$37,'UCL WS 2ed'!$E$3:$E$37,0,0)</f>
        <v>5</v>
      </c>
      <c r="S33" s="45">
        <f>+_xlfn.XLOOKUP(D33,'UCL WS 2ed'!$C$3:$C$37,'UCL WS 2ed'!$F$3:$F$37,0)</f>
        <v>0</v>
      </c>
      <c r="T33" s="83">
        <f>IFERROR(R33/Q33,0)</f>
        <v>1</v>
      </c>
      <c r="U33" s="63">
        <f>IFERROR(VLOOKUP(D33,'UCL SS 3ed'!$C$3:$F$24,2,FALSE),0)</f>
        <v>0</v>
      </c>
      <c r="V33" s="43">
        <f>IFERROR(VLOOKUP(D33,'UCL SS 3ed'!$C$3:$F$24,3,FALSE),0)</f>
        <v>0</v>
      </c>
      <c r="W33" s="61">
        <f>IFERROR(VLOOKUP(D33,'UCL SS 3ed'!$C$3:$F$24,4,FALSE),0)</f>
        <v>0</v>
      </c>
      <c r="X33" s="64">
        <f>IFERROR(V33/U33,0)</f>
        <v>0</v>
      </c>
      <c r="Y33" s="123">
        <f>E33+I33+M33+Q33+U33</f>
        <v>5</v>
      </c>
      <c r="Z33" s="46">
        <f>F33+J33+N33+R33+V33</f>
        <v>5</v>
      </c>
      <c r="AA33" s="46">
        <f>G33+K33+O33+S33+W33</f>
        <v>0</v>
      </c>
      <c r="AB33" s="47">
        <f>Z33/Y33</f>
        <v>1</v>
      </c>
    </row>
    <row r="34" spans="2:29" x14ac:dyDescent="0.35">
      <c r="B34" s="106">
        <v>28</v>
      </c>
      <c r="C34" s="11" t="s">
        <v>194</v>
      </c>
      <c r="D34" s="107" t="s">
        <v>195</v>
      </c>
      <c r="E34" s="95">
        <f>IFERROR((VLOOKUP(D34,'UCL SS'!$C$3:$D$31,2,FALSE)),0)</f>
        <v>0</v>
      </c>
      <c r="F34" s="43">
        <f>IFERROR(VLOOKUP(D34,'UCL SS'!$C$3:$E$31,3,FALSE),0)</f>
        <v>0</v>
      </c>
      <c r="G34" s="43">
        <f>IFERROR(VLOOKUP(D34,'UCL SS'!$C$3:$F$31,4,FALSE),0)</f>
        <v>0</v>
      </c>
      <c r="H34" s="64">
        <f>IFERROR(F34/E34,0)</f>
        <v>0</v>
      </c>
      <c r="I34" s="67">
        <f>IFERROR(VLOOKUP(D34,'UCL WS'!$C$3:$F$35,2,FALSE),0)</f>
        <v>0</v>
      </c>
      <c r="J34" s="44">
        <f>IFERROR(VLOOKUP(D34,'UCL WS'!$C$3:$F$35,3,FALSE),0)</f>
        <v>0</v>
      </c>
      <c r="K34" s="45">
        <f>IFERROR(VLOOKUP(D34,'UCL WS'!$C$3:$F$35,4,FALSE),0)</f>
        <v>0</v>
      </c>
      <c r="L34" s="83">
        <f>IFERROR(J34/I34,0)</f>
        <v>0</v>
      </c>
      <c r="M34" s="63">
        <f>IFERROR(VLOOKUP(D34,'UCL SS 2ed'!$C$3:$F$50,2,FALSE),0)</f>
        <v>3</v>
      </c>
      <c r="N34" s="43">
        <f>IFERROR(VLOOKUP(D34,'UCL SS 2ed'!$C$3:$F$50,3,FALSE),0)</f>
        <v>2</v>
      </c>
      <c r="O34" s="61">
        <f>IFERROR(VLOOKUP(D34,'UCL SS 2ed'!$C$3:$F$50,4,FALSE),0)</f>
        <v>1</v>
      </c>
      <c r="P34" s="87">
        <f>IFERROR(N34/M34,0)</f>
        <v>0.66666666666666663</v>
      </c>
      <c r="Q34" s="89">
        <f>+_xlfn.XLOOKUP(D34,'UCL WS 2ed'!$C$3:$C$37,'UCL WS 2ed'!$D$3:$D$37,0,0)</f>
        <v>2</v>
      </c>
      <c r="R34" s="45">
        <f>+_xlfn.XLOOKUP(D34,'UCL WS 2ed'!$C$3:$C$37,'UCL WS 2ed'!$E$3:$E$37,0,0)</f>
        <v>0</v>
      </c>
      <c r="S34" s="45">
        <f>+_xlfn.XLOOKUP(D34,'UCL WS 2ed'!$C$3:$C$37,'UCL WS 2ed'!$F$3:$F$37,0)</f>
        <v>2</v>
      </c>
      <c r="T34" s="83">
        <f>IFERROR(R34/Q34,0)</f>
        <v>0</v>
      </c>
      <c r="U34" s="63">
        <f>IFERROR(VLOOKUP(D34,'UCL SS 3ed'!$C$3:$F$24,2,FALSE),0)</f>
        <v>0</v>
      </c>
      <c r="V34" s="43">
        <f>IFERROR(VLOOKUP(D34,'UCL SS 3ed'!$C$3:$F$24,3,FALSE),0)</f>
        <v>0</v>
      </c>
      <c r="W34" s="61">
        <f>IFERROR(VLOOKUP(D34,'UCL SS 3ed'!$C$3:$F$24,4,FALSE),0)</f>
        <v>0</v>
      </c>
      <c r="X34" s="64">
        <f>IFERROR(V34/U34,0)</f>
        <v>0</v>
      </c>
      <c r="Y34" s="123">
        <f>E34+I34+M34+Q34+U34</f>
        <v>5</v>
      </c>
      <c r="Z34" s="46">
        <f>F34+J34+N34+R34+V34</f>
        <v>2</v>
      </c>
      <c r="AA34" s="46">
        <f>G34+K34+O34+S34+W34</f>
        <v>3</v>
      </c>
      <c r="AB34" s="47">
        <f>Z34/Y34</f>
        <v>0.4</v>
      </c>
      <c r="AC34" t="s">
        <v>323</v>
      </c>
    </row>
    <row r="35" spans="2:29" x14ac:dyDescent="0.35">
      <c r="B35" s="106">
        <v>28</v>
      </c>
      <c r="C35" s="11" t="s">
        <v>180</v>
      </c>
      <c r="D35" s="107" t="s">
        <v>181</v>
      </c>
      <c r="E35" s="95">
        <f>IFERROR((VLOOKUP(D35,'UCL SS'!$C$3:$D$31,2,FALSE)),0)</f>
        <v>0</v>
      </c>
      <c r="F35" s="43">
        <f>IFERROR(VLOOKUP(D35,'UCL SS'!$C$3:$E$31,3,FALSE),0)</f>
        <v>0</v>
      </c>
      <c r="G35" s="43">
        <f>IFERROR(VLOOKUP(D35,'UCL SS'!$C$3:$F$31,4,FALSE),0)</f>
        <v>0</v>
      </c>
      <c r="H35" s="64">
        <f>IFERROR(F35/E35,0)</f>
        <v>0</v>
      </c>
      <c r="I35" s="67">
        <f>IFERROR(VLOOKUP(D35,'UCL WS'!$C$3:$F$35,2,FALSE),0)</f>
        <v>0</v>
      </c>
      <c r="J35" s="44">
        <f>IFERROR(VLOOKUP(D35,'UCL WS'!$C$3:$F$35,3,FALSE),0)</f>
        <v>0</v>
      </c>
      <c r="K35" s="45">
        <f>IFERROR(VLOOKUP(D35,'UCL WS'!$C$3:$F$35,4,FALSE),0)</f>
        <v>0</v>
      </c>
      <c r="L35" s="83">
        <f>IFERROR(J35/I35,0)</f>
        <v>0</v>
      </c>
      <c r="M35" s="63">
        <f>IFERROR(VLOOKUP(D35,'UCL SS 2ed'!$C$3:$F$50,2,FALSE),0)</f>
        <v>1</v>
      </c>
      <c r="N35" s="43">
        <f>IFERROR(VLOOKUP(D35,'UCL SS 2ed'!$C$3:$F$50,3,FALSE),0)</f>
        <v>0</v>
      </c>
      <c r="O35" s="61">
        <f>IFERROR(VLOOKUP(D35,'UCL SS 2ed'!$C$3:$F$50,4,FALSE),0)</f>
        <v>1</v>
      </c>
      <c r="P35" s="87">
        <f>IFERROR(N35/M35,0)</f>
        <v>0</v>
      </c>
      <c r="Q35" s="89">
        <f>+_xlfn.XLOOKUP(D35,'UCL WS 2ed'!$C$3:$C$37,'UCL WS 2ed'!$D$3:$D$37,0,0)</f>
        <v>3</v>
      </c>
      <c r="R35" s="45">
        <f>+_xlfn.XLOOKUP(D35,'UCL WS 2ed'!$C$3:$C$37,'UCL WS 2ed'!$E$3:$E$37,0,0)</f>
        <v>1</v>
      </c>
      <c r="S35" s="45">
        <f>+_xlfn.XLOOKUP(D35,'UCL WS 2ed'!$C$3:$C$37,'UCL WS 2ed'!$F$3:$F$37,0)</f>
        <v>2</v>
      </c>
      <c r="T35" s="83">
        <f>IFERROR(R35/Q35,0)</f>
        <v>0.33333333333333331</v>
      </c>
      <c r="U35" s="63">
        <f>IFERROR(VLOOKUP(D35,'UCL SS 3ed'!$C$3:$F$24,2,FALSE),0)</f>
        <v>1</v>
      </c>
      <c r="V35" s="43">
        <f>IFERROR(VLOOKUP(D35,'UCL SS 3ed'!$C$3:$F$24,3,FALSE),0)</f>
        <v>1</v>
      </c>
      <c r="W35" s="61">
        <f>IFERROR(VLOOKUP(D35,'UCL SS 3ed'!$C$3:$F$24,4,FALSE),0)</f>
        <v>0</v>
      </c>
      <c r="X35" s="64">
        <f>IFERROR(V35/U35,0)</f>
        <v>1</v>
      </c>
      <c r="Y35" s="123">
        <f>E35+I35+M35+Q35+U35</f>
        <v>5</v>
      </c>
      <c r="Z35" s="46">
        <f>F35+J35+N35+R35+V35</f>
        <v>2</v>
      </c>
      <c r="AA35" s="46">
        <f>G35+K35+O35+S35+W35</f>
        <v>3</v>
      </c>
      <c r="AB35" s="47">
        <f>Z35/Y35</f>
        <v>0.4</v>
      </c>
    </row>
    <row r="36" spans="2:29" x14ac:dyDescent="0.35">
      <c r="B36" s="106">
        <v>32</v>
      </c>
      <c r="C36" s="11" t="s">
        <v>32</v>
      </c>
      <c r="D36" s="107" t="s">
        <v>65</v>
      </c>
      <c r="E36" s="95">
        <f>IFERROR((VLOOKUP(D36,'UCL SS'!$C$3:$D$31,2,FALSE)),0)</f>
        <v>2</v>
      </c>
      <c r="F36" s="43">
        <f>IFERROR(VLOOKUP(D36,'UCL SS'!$C$3:$E$31,3,FALSE),0)</f>
        <v>1</v>
      </c>
      <c r="G36" s="43">
        <f>IFERROR(VLOOKUP(D36,'UCL SS'!$C$3:$F$31,4,FALSE),0)</f>
        <v>1</v>
      </c>
      <c r="H36" s="64">
        <f>IFERROR(F36/E36,0)</f>
        <v>0.5</v>
      </c>
      <c r="I36" s="67">
        <f>IFERROR(VLOOKUP(D36,'UCL WS'!$C$3:$F$35,2,FALSE),0)</f>
        <v>0</v>
      </c>
      <c r="J36" s="44">
        <f>IFERROR(VLOOKUP(D36,'UCL WS'!$C$3:$F$35,3,FALSE),0)</f>
        <v>0</v>
      </c>
      <c r="K36" s="45">
        <f>IFERROR(VLOOKUP(D36,'UCL WS'!$C$3:$F$35,4,FALSE),0)</f>
        <v>0</v>
      </c>
      <c r="L36" s="83">
        <f>IFERROR(J36/I36,0)</f>
        <v>0</v>
      </c>
      <c r="M36" s="63">
        <f>IFERROR(VLOOKUP(D36,'UCL SS 2ed'!$C$3:$F$50,2,FALSE),0)</f>
        <v>2</v>
      </c>
      <c r="N36" s="43">
        <f>IFERROR(VLOOKUP(D36,'UCL SS 2ed'!$C$3:$F$50,3,FALSE),0)</f>
        <v>1</v>
      </c>
      <c r="O36" s="61">
        <f>IFERROR(VLOOKUP(D36,'UCL SS 2ed'!$C$3:$F$50,4,FALSE),0)</f>
        <v>1</v>
      </c>
      <c r="P36" s="87">
        <f>IFERROR(N36/M36,0)</f>
        <v>0.5</v>
      </c>
      <c r="Q36" s="89">
        <f>+_xlfn.XLOOKUP(D36,'UCL WS 2ed'!$C$3:$C$37,'UCL WS 2ed'!$D$3:$D$37,0,0)</f>
        <v>0</v>
      </c>
      <c r="R36" s="45">
        <f>+_xlfn.XLOOKUP(D36,'UCL WS 2ed'!$C$3:$C$37,'UCL WS 2ed'!$E$3:$E$37,0,0)</f>
        <v>0</v>
      </c>
      <c r="S36" s="45">
        <f>+_xlfn.XLOOKUP(D36,'UCL WS 2ed'!$C$3:$C$37,'UCL WS 2ed'!$F$3:$F$37,0)</f>
        <v>0</v>
      </c>
      <c r="T36" s="83">
        <f>IFERROR(R36/Q36,0)</f>
        <v>0</v>
      </c>
      <c r="U36" s="63">
        <f>IFERROR(VLOOKUP(D36,'UCL SS 3ed'!$C$3:$F$24,2,FALSE),0)</f>
        <v>0</v>
      </c>
      <c r="V36" s="43">
        <f>IFERROR(VLOOKUP(D36,'UCL SS 3ed'!$C$3:$F$24,3,FALSE),0)</f>
        <v>0</v>
      </c>
      <c r="W36" s="61">
        <f>IFERROR(VLOOKUP(D36,'UCL SS 3ed'!$C$3:$F$24,4,FALSE),0)</f>
        <v>0</v>
      </c>
      <c r="X36" s="64">
        <f>IFERROR(V36/U36,0)</f>
        <v>0</v>
      </c>
      <c r="Y36" s="123">
        <f>E36+I36+M36+Q36+U36</f>
        <v>4</v>
      </c>
      <c r="Z36" s="46">
        <f>F36+J36+N36+R36+V36</f>
        <v>2</v>
      </c>
      <c r="AA36" s="46">
        <f>G36+K36+O36+S36+W36</f>
        <v>2</v>
      </c>
      <c r="AB36" s="47">
        <f>Z36/Y36</f>
        <v>0.5</v>
      </c>
      <c r="AC36" t="s">
        <v>323</v>
      </c>
    </row>
    <row r="37" spans="2:29" x14ac:dyDescent="0.35">
      <c r="B37" s="85">
        <v>32</v>
      </c>
      <c r="C37" s="4" t="s">
        <v>190</v>
      </c>
      <c r="D37" s="86" t="s">
        <v>191</v>
      </c>
      <c r="E37" s="95">
        <f>IFERROR((VLOOKUP(D37,'UCL SS'!$C$3:$D$31,2,FALSE)),0)</f>
        <v>0</v>
      </c>
      <c r="F37" s="43">
        <f>IFERROR(VLOOKUP(D37,'UCL SS'!$C$3:$E$31,3,FALSE),0)</f>
        <v>0</v>
      </c>
      <c r="G37" s="43">
        <f>IFERROR(VLOOKUP(D37,'UCL SS'!$C$3:$F$31,4,FALSE),0)</f>
        <v>0</v>
      </c>
      <c r="H37" s="64">
        <f>IFERROR(F37/E37,0)</f>
        <v>0</v>
      </c>
      <c r="I37" s="67">
        <f>IFERROR(VLOOKUP(D37,'UCL WS'!$C$3:$F$35,2,FALSE),0)</f>
        <v>0</v>
      </c>
      <c r="J37" s="44">
        <f>IFERROR(VLOOKUP(D37,'UCL WS'!$C$3:$F$35,3,FALSE),0)</f>
        <v>0</v>
      </c>
      <c r="K37" s="45">
        <f>IFERROR(VLOOKUP(D37,'UCL WS'!$C$3:$F$35,4,FALSE),0)</f>
        <v>0</v>
      </c>
      <c r="L37" s="83">
        <f>IFERROR(J37/I37,0)</f>
        <v>0</v>
      </c>
      <c r="M37" s="63">
        <f>IFERROR(VLOOKUP(D37,'UCL SS 2ed'!$C$3:$F$50,2,FALSE),0)</f>
        <v>3</v>
      </c>
      <c r="N37" s="43">
        <f>IFERROR(VLOOKUP(D37,'UCL SS 2ed'!$C$3:$F$50,3,FALSE),0)</f>
        <v>0</v>
      </c>
      <c r="O37" s="61">
        <f>IFERROR(VLOOKUP(D37,'UCL SS 2ed'!$C$3:$F$50,4,FALSE),0)</f>
        <v>3</v>
      </c>
      <c r="P37" s="87">
        <f>IFERROR(N37/M37,0)</f>
        <v>0</v>
      </c>
      <c r="Q37" s="89">
        <f>+_xlfn.XLOOKUP(D37,'UCL WS 2ed'!$C$3:$C$37,'UCL WS 2ed'!$D$3:$D$37,0,0)</f>
        <v>1</v>
      </c>
      <c r="R37" s="45">
        <f>+_xlfn.XLOOKUP(D37,'UCL WS 2ed'!$C$3:$C$37,'UCL WS 2ed'!$E$3:$E$37,0,0)</f>
        <v>1</v>
      </c>
      <c r="S37" s="45">
        <f>+_xlfn.XLOOKUP(D37,'UCL WS 2ed'!$C$3:$C$37,'UCL WS 2ed'!$F$3:$F$37,0)</f>
        <v>0</v>
      </c>
      <c r="T37" s="83">
        <f>IFERROR(R37/Q37,0)</f>
        <v>1</v>
      </c>
      <c r="U37" s="63">
        <f>IFERROR(VLOOKUP(D37,'UCL SS 3ed'!$C$3:$F$24,2,FALSE),0)</f>
        <v>0</v>
      </c>
      <c r="V37" s="43">
        <f>IFERROR(VLOOKUP(D37,'UCL SS 3ed'!$C$3:$F$24,3,FALSE),0)</f>
        <v>0</v>
      </c>
      <c r="W37" s="61">
        <f>IFERROR(VLOOKUP(D37,'UCL SS 3ed'!$C$3:$F$24,4,FALSE),0)</f>
        <v>0</v>
      </c>
      <c r="X37" s="64">
        <f>IFERROR(V37/U37,0)</f>
        <v>0</v>
      </c>
      <c r="Y37" s="123">
        <f>E37+I37+M37+Q37+U37</f>
        <v>4</v>
      </c>
      <c r="Z37" s="46">
        <f>F37+J37+N37+R37+V37</f>
        <v>1</v>
      </c>
      <c r="AA37" s="46">
        <f>G37+K37+O37+S37+W37</f>
        <v>3</v>
      </c>
      <c r="AB37" s="47">
        <f>Z37/Y37</f>
        <v>0.25</v>
      </c>
      <c r="AC37" t="s">
        <v>272</v>
      </c>
    </row>
    <row r="38" spans="2:29" x14ac:dyDescent="0.35">
      <c r="B38" s="106">
        <v>32</v>
      </c>
      <c r="C38" s="11" t="s">
        <v>267</v>
      </c>
      <c r="D38" s="107" t="s">
        <v>268</v>
      </c>
      <c r="E38" s="95">
        <f>IFERROR((VLOOKUP(D38,'UCL SS'!$C$3:$D$31,2,FALSE)),0)</f>
        <v>0</v>
      </c>
      <c r="F38" s="43">
        <f>IFERROR(VLOOKUP(D38,'UCL SS'!$C$3:$E$31,3,FALSE),0)</f>
        <v>0</v>
      </c>
      <c r="G38" s="43">
        <f>IFERROR(VLOOKUP(D38,'UCL SS'!$C$3:$F$31,4,FALSE),0)</f>
        <v>0</v>
      </c>
      <c r="H38" s="64">
        <f>IFERROR(F38/E38,0)</f>
        <v>0</v>
      </c>
      <c r="I38" s="67">
        <f>IFERROR(VLOOKUP(D38,'UCL WS'!$C$3:$F$35,2,FALSE),0)</f>
        <v>0</v>
      </c>
      <c r="J38" s="44">
        <f>IFERROR(VLOOKUP(D38,'UCL WS'!$C$3:$F$35,3,FALSE),0)</f>
        <v>0</v>
      </c>
      <c r="K38" s="45">
        <f>IFERROR(VLOOKUP(D38,'UCL WS'!$C$3:$F$35,4,FALSE),0)</f>
        <v>0</v>
      </c>
      <c r="L38" s="83">
        <f>IFERROR(J38/I38,0)</f>
        <v>0</v>
      </c>
      <c r="M38" s="63">
        <f>IFERROR(VLOOKUP(D38,'UCL SS 2ed'!$C$3:$F$50,2,FALSE),0)</f>
        <v>0</v>
      </c>
      <c r="N38" s="43">
        <f>IFERROR(VLOOKUP(D38,'UCL SS 2ed'!$C$3:$F$50,3,FALSE),0)</f>
        <v>0</v>
      </c>
      <c r="O38" s="61">
        <f>IFERROR(VLOOKUP(D38,'UCL SS 2ed'!$C$3:$F$50,4,FALSE),0)</f>
        <v>0</v>
      </c>
      <c r="P38" s="87">
        <f>IFERROR(N38/M38,0)</f>
        <v>0</v>
      </c>
      <c r="Q38" s="89">
        <f>+_xlfn.XLOOKUP(D38,'UCL WS 2ed'!$C$3:$C$37,'UCL WS 2ed'!$D$3:$D$37,0,0)</f>
        <v>4</v>
      </c>
      <c r="R38" s="45">
        <f>+_xlfn.XLOOKUP(D38,'UCL WS 2ed'!$C$3:$C$37,'UCL WS 2ed'!$E$3:$E$37,0,0)</f>
        <v>1</v>
      </c>
      <c r="S38" s="45">
        <f>+_xlfn.XLOOKUP(D38,'UCL WS 2ed'!$C$3:$C$37,'UCL WS 2ed'!$F$3:$F$37,0)</f>
        <v>3</v>
      </c>
      <c r="T38" s="83">
        <f>IFERROR(R38/Q38,0)</f>
        <v>0.25</v>
      </c>
      <c r="U38" s="63">
        <f>IFERROR(VLOOKUP(D38,'UCL SS 3ed'!$C$3:$F$24,2,FALSE),0)</f>
        <v>0</v>
      </c>
      <c r="V38" s="43">
        <f>IFERROR(VLOOKUP(D38,'UCL SS 3ed'!$C$3:$F$24,3,FALSE),0)</f>
        <v>0</v>
      </c>
      <c r="W38" s="61">
        <f>IFERROR(VLOOKUP(D38,'UCL SS 3ed'!$C$3:$F$24,4,FALSE),0)</f>
        <v>0</v>
      </c>
      <c r="X38" s="64">
        <f>IFERROR(V38/U38,0)</f>
        <v>0</v>
      </c>
      <c r="Y38" s="123">
        <f>E38+I38+M38+Q38+U38</f>
        <v>4</v>
      </c>
      <c r="Z38" s="46">
        <f>F38+J38+N38+R38+V38</f>
        <v>1</v>
      </c>
      <c r="AA38" s="46">
        <f>G38+K38+O38+S38+W38</f>
        <v>3</v>
      </c>
      <c r="AB38" s="47">
        <f>Z38/Y38</f>
        <v>0.25</v>
      </c>
    </row>
    <row r="39" spans="2:29" x14ac:dyDescent="0.35">
      <c r="B39" s="85">
        <v>35</v>
      </c>
      <c r="C39" s="4" t="s">
        <v>23</v>
      </c>
      <c r="D39" s="86" t="s">
        <v>102</v>
      </c>
      <c r="E39" s="95">
        <f>IFERROR((VLOOKUP(D39,'UCL SS'!$C$3:$D$31,2,FALSE)),0)</f>
        <v>2</v>
      </c>
      <c r="F39" s="43">
        <f>IFERROR(VLOOKUP(D39,'UCL SS'!$C$3:$E$31,3,FALSE),0)</f>
        <v>0</v>
      </c>
      <c r="G39" s="43">
        <f>IFERROR(VLOOKUP(D39,'UCL SS'!$C$3:$F$31,4,FALSE),0)</f>
        <v>2</v>
      </c>
      <c r="H39" s="64">
        <f>IFERROR(F39/E39,0)</f>
        <v>0</v>
      </c>
      <c r="I39" s="67">
        <f>IFERROR(VLOOKUP(D39,'UCL WS'!$C$3:$F$35,2,FALSE),0)</f>
        <v>1</v>
      </c>
      <c r="J39" s="44">
        <f>IFERROR(VLOOKUP(D39,'UCL WS'!$C$3:$F$35,3,FALSE),0)</f>
        <v>1</v>
      </c>
      <c r="K39" s="45">
        <f>IFERROR(VLOOKUP(D39,'UCL WS'!$C$3:$F$35,4,FALSE),0)</f>
        <v>0</v>
      </c>
      <c r="L39" s="83">
        <f>IFERROR(J39/I39,0)</f>
        <v>1</v>
      </c>
      <c r="M39" s="63">
        <f>IFERROR(VLOOKUP(D39,'UCL SS 2ed'!$C$3:$F$50,2,FALSE),0)</f>
        <v>0</v>
      </c>
      <c r="N39" s="43">
        <f>IFERROR(VLOOKUP(D39,'UCL SS 2ed'!$C$3:$F$50,3,FALSE),0)</f>
        <v>0</v>
      </c>
      <c r="O39" s="61">
        <f>IFERROR(VLOOKUP(D39,'UCL SS 2ed'!$C$3:$F$50,4,FALSE),0)</f>
        <v>0</v>
      </c>
      <c r="P39" s="87">
        <f>IFERROR(N39/M39,0)</f>
        <v>0</v>
      </c>
      <c r="Q39" s="89">
        <f>+_xlfn.XLOOKUP(D39,'UCL WS 2ed'!$C$3:$C$37,'UCL WS 2ed'!$D$3:$D$37,0,0)</f>
        <v>0</v>
      </c>
      <c r="R39" s="45">
        <f>+_xlfn.XLOOKUP(D39,'UCL WS 2ed'!$C$3:$C$37,'UCL WS 2ed'!$E$3:$E$37,0,0)</f>
        <v>0</v>
      </c>
      <c r="S39" s="45">
        <f>+_xlfn.XLOOKUP(D39,'UCL WS 2ed'!$C$3:$C$37,'UCL WS 2ed'!$F$3:$F$37,0)</f>
        <v>0</v>
      </c>
      <c r="T39" s="83">
        <f>IFERROR(R39/Q39,0)</f>
        <v>0</v>
      </c>
      <c r="U39" s="63">
        <f>IFERROR(VLOOKUP(D39,'UCL SS 3ed'!$C$3:$F$24,2,FALSE),0)</f>
        <v>0</v>
      </c>
      <c r="V39" s="43">
        <f>IFERROR(VLOOKUP(D39,'UCL SS 3ed'!$C$3:$F$24,3,FALSE),0)</f>
        <v>0</v>
      </c>
      <c r="W39" s="61">
        <f>IFERROR(VLOOKUP(D39,'UCL SS 3ed'!$C$3:$F$24,4,FALSE),0)</f>
        <v>0</v>
      </c>
      <c r="X39" s="64">
        <f>IFERROR(V39/U39,0)</f>
        <v>0</v>
      </c>
      <c r="Y39" s="123">
        <f>E39+I39+M39+Q39+U39</f>
        <v>3</v>
      </c>
      <c r="Z39" s="46">
        <f>F39+J39+N39+R39+V39</f>
        <v>1</v>
      </c>
      <c r="AA39" s="46">
        <f>G39+K39+O39+S39+W39</f>
        <v>2</v>
      </c>
      <c r="AB39" s="47">
        <f>Z39/Y39</f>
        <v>0.33333333333333331</v>
      </c>
      <c r="AC39" t="s">
        <v>305</v>
      </c>
    </row>
    <row r="40" spans="2:29" x14ac:dyDescent="0.35">
      <c r="B40" s="106">
        <v>35</v>
      </c>
      <c r="C40" s="11" t="s">
        <v>113</v>
      </c>
      <c r="D40" s="107" t="s">
        <v>114</v>
      </c>
      <c r="E40" s="95">
        <f>IFERROR((VLOOKUP(D40,'UCL SS'!$C$3:$D$31,2,FALSE)),0)</f>
        <v>0</v>
      </c>
      <c r="F40" s="43">
        <f>IFERROR(VLOOKUP(D40,'UCL SS'!$C$3:$E$31,3,FALSE),0)</f>
        <v>0</v>
      </c>
      <c r="G40" s="43">
        <f>IFERROR(VLOOKUP(D40,'UCL SS'!$C$3:$F$31,4,FALSE),0)</f>
        <v>0</v>
      </c>
      <c r="H40" s="64">
        <f>IFERROR(F40/E40,0)</f>
        <v>0</v>
      </c>
      <c r="I40" s="67">
        <f>IFERROR(VLOOKUP(D40,'UCL WS'!$C$3:$F$35,2,FALSE),0)</f>
        <v>3</v>
      </c>
      <c r="J40" s="44">
        <f>IFERROR(VLOOKUP(D40,'UCL WS'!$C$3:$F$35,3,FALSE),0)</f>
        <v>0</v>
      </c>
      <c r="K40" s="45">
        <f>IFERROR(VLOOKUP(D40,'UCL WS'!$C$3:$F$35,4,FALSE),0)</f>
        <v>3</v>
      </c>
      <c r="L40" s="83">
        <f>IFERROR(J40/I40,0)</f>
        <v>0</v>
      </c>
      <c r="M40" s="63">
        <f>IFERROR(VLOOKUP(D40,'UCL SS 2ed'!$C$3:$F$50,2,FALSE),0)</f>
        <v>0</v>
      </c>
      <c r="N40" s="43">
        <f>IFERROR(VLOOKUP(D40,'UCL SS 2ed'!$C$3:$F$50,3,FALSE),0)</f>
        <v>0</v>
      </c>
      <c r="O40" s="61">
        <f>IFERROR(VLOOKUP(D40,'UCL SS 2ed'!$C$3:$F$50,4,FALSE),0)</f>
        <v>0</v>
      </c>
      <c r="P40" s="87">
        <f>IFERROR(N40/M40,0)</f>
        <v>0</v>
      </c>
      <c r="Q40" s="89">
        <f>+_xlfn.XLOOKUP(D40,'UCL WS 2ed'!$C$3:$C$37,'UCL WS 2ed'!$D$3:$D$37,0,0)</f>
        <v>0</v>
      </c>
      <c r="R40" s="45">
        <f>+_xlfn.XLOOKUP(D40,'UCL WS 2ed'!$C$3:$C$37,'UCL WS 2ed'!$E$3:$E$37,0,0)</f>
        <v>0</v>
      </c>
      <c r="S40" s="45">
        <f>+_xlfn.XLOOKUP(D40,'UCL WS 2ed'!$C$3:$C$37,'UCL WS 2ed'!$F$3:$F$37,0)</f>
        <v>0</v>
      </c>
      <c r="T40" s="83">
        <f>IFERROR(R40/Q40,0)</f>
        <v>0</v>
      </c>
      <c r="U40" s="63">
        <f>IFERROR(VLOOKUP(D40,'UCL SS 3ed'!$C$3:$F$24,2,FALSE),0)</f>
        <v>0</v>
      </c>
      <c r="V40" s="43">
        <f>IFERROR(VLOOKUP(D40,'UCL SS 3ed'!$C$3:$F$24,3,FALSE),0)</f>
        <v>0</v>
      </c>
      <c r="W40" s="61">
        <f>IFERROR(VLOOKUP(D40,'UCL SS 3ed'!$C$3:$F$24,4,FALSE),0)</f>
        <v>0</v>
      </c>
      <c r="X40" s="64">
        <f>IFERROR(V40/U40,0)</f>
        <v>0</v>
      </c>
      <c r="Y40" s="123">
        <f>E40+I40+M40+Q40+U40</f>
        <v>3</v>
      </c>
      <c r="Z40" s="46">
        <f>F40+J40+N40+R40+V40</f>
        <v>0</v>
      </c>
      <c r="AA40" s="46">
        <f>G40+K40+O40+S40+W40</f>
        <v>3</v>
      </c>
      <c r="AB40" s="47">
        <f>Z40/Y40</f>
        <v>0</v>
      </c>
    </row>
    <row r="41" spans="2:29" x14ac:dyDescent="0.35">
      <c r="B41" s="106">
        <v>35</v>
      </c>
      <c r="C41" s="11" t="s">
        <v>103</v>
      </c>
      <c r="D41" s="107" t="s">
        <v>81</v>
      </c>
      <c r="E41" s="95">
        <f>IFERROR((VLOOKUP(D41,'UCL SS'!$C$3:$D$31,2,FALSE)),0)</f>
        <v>0</v>
      </c>
      <c r="F41" s="43">
        <f>IFERROR(VLOOKUP(D41,'UCL SS'!$C$3:$E$31,3,FALSE),0)</f>
        <v>0</v>
      </c>
      <c r="G41" s="43">
        <f>IFERROR(VLOOKUP(D41,'UCL SS'!$C$3:$F$31,4,FALSE),0)</f>
        <v>0</v>
      </c>
      <c r="H41" s="64">
        <f>IFERROR(F41/E41,0)</f>
        <v>0</v>
      </c>
      <c r="I41" s="67">
        <f>IFERROR(VLOOKUP(D41,'UCL WS'!$C$3:$F$35,2,FALSE),0)</f>
        <v>3</v>
      </c>
      <c r="J41" s="44">
        <f>IFERROR(VLOOKUP(D41,'UCL WS'!$C$3:$F$35,3,FALSE),0)</f>
        <v>2</v>
      </c>
      <c r="K41" s="45">
        <f>IFERROR(VLOOKUP(D41,'UCL WS'!$C$3:$F$35,4,FALSE),0)</f>
        <v>1</v>
      </c>
      <c r="L41" s="83">
        <f>IFERROR(J41/I41,0)</f>
        <v>0.66666666666666663</v>
      </c>
      <c r="M41" s="63">
        <f>IFERROR(VLOOKUP(D41,'UCL SS 2ed'!$C$3:$F$50,2,FALSE),0)</f>
        <v>0</v>
      </c>
      <c r="N41" s="43">
        <f>IFERROR(VLOOKUP(D41,'UCL SS 2ed'!$C$3:$F$50,3,FALSE),0)</f>
        <v>0</v>
      </c>
      <c r="O41" s="61">
        <f>IFERROR(VLOOKUP(D41,'UCL SS 2ed'!$C$3:$F$50,4,FALSE),0)</f>
        <v>0</v>
      </c>
      <c r="P41" s="87">
        <f>IFERROR(N41/M41,0)</f>
        <v>0</v>
      </c>
      <c r="Q41" s="89">
        <f>+_xlfn.XLOOKUP(D41,'UCL WS 2ed'!$C$3:$C$37,'UCL WS 2ed'!$D$3:$D$37,0,0)</f>
        <v>0</v>
      </c>
      <c r="R41" s="45">
        <f>+_xlfn.XLOOKUP(D41,'UCL WS 2ed'!$C$3:$C$37,'UCL WS 2ed'!$E$3:$E$37,0,0)</f>
        <v>0</v>
      </c>
      <c r="S41" s="45">
        <f>+_xlfn.XLOOKUP(D41,'UCL WS 2ed'!$C$3:$C$37,'UCL WS 2ed'!$F$3:$F$37,0)</f>
        <v>0</v>
      </c>
      <c r="T41" s="83">
        <f>IFERROR(R41/Q41,0)</f>
        <v>0</v>
      </c>
      <c r="U41" s="63">
        <f>IFERROR(VLOOKUP(D41,'UCL SS 3ed'!$C$3:$F$24,2,FALSE),0)</f>
        <v>0</v>
      </c>
      <c r="V41" s="43">
        <f>IFERROR(VLOOKUP(D41,'UCL SS 3ed'!$C$3:$F$24,3,FALSE),0)</f>
        <v>0</v>
      </c>
      <c r="W41" s="61">
        <f>IFERROR(VLOOKUP(D41,'UCL SS 3ed'!$C$3:$F$24,4,FALSE),0)</f>
        <v>0</v>
      </c>
      <c r="X41" s="64">
        <f>IFERROR(V41/U41,0)</f>
        <v>0</v>
      </c>
      <c r="Y41" s="123">
        <f>E41+I41+M41+Q41+U41</f>
        <v>3</v>
      </c>
      <c r="Z41" s="46">
        <f>F41+J41+N41+R41+V41</f>
        <v>2</v>
      </c>
      <c r="AA41" s="46">
        <f>G41+K41+O41+S41+W41</f>
        <v>1</v>
      </c>
      <c r="AB41" s="47">
        <f>Z41/Y41</f>
        <v>0.66666666666666663</v>
      </c>
    </row>
    <row r="42" spans="2:29" x14ac:dyDescent="0.35">
      <c r="B42" s="106">
        <v>35</v>
      </c>
      <c r="C42" s="11" t="s">
        <v>105</v>
      </c>
      <c r="D42" s="107" t="s">
        <v>106</v>
      </c>
      <c r="E42" s="95">
        <f>IFERROR((VLOOKUP(D42,'UCL SS'!$C$3:$D$31,2,FALSE)),0)</f>
        <v>0</v>
      </c>
      <c r="F42" s="43">
        <f>IFERROR(VLOOKUP(D42,'UCL SS'!$C$3:$E$31,3,FALSE),0)</f>
        <v>0</v>
      </c>
      <c r="G42" s="43">
        <f>IFERROR(VLOOKUP(D42,'UCL SS'!$C$3:$F$31,4,FALSE),0)</f>
        <v>0</v>
      </c>
      <c r="H42" s="64">
        <f>IFERROR(F42/E42,0)</f>
        <v>0</v>
      </c>
      <c r="I42" s="67">
        <f>IFERROR(VLOOKUP(D42,'UCL WS'!$C$3:$F$35,2,FALSE),0)</f>
        <v>1</v>
      </c>
      <c r="J42" s="44">
        <f>IFERROR(VLOOKUP(D42,'UCL WS'!$C$3:$F$35,3,FALSE),0)</f>
        <v>0</v>
      </c>
      <c r="K42" s="45">
        <f>IFERROR(VLOOKUP(D42,'UCL WS'!$C$3:$F$35,4,FALSE),0)</f>
        <v>1</v>
      </c>
      <c r="L42" s="83">
        <f>IFERROR(J42/I42,0)</f>
        <v>0</v>
      </c>
      <c r="M42" s="63">
        <f>IFERROR(VLOOKUP(D42,'UCL SS 2ed'!$C$3:$F$50,2,FALSE),0)</f>
        <v>2</v>
      </c>
      <c r="N42" s="43">
        <f>IFERROR(VLOOKUP(D42,'UCL SS 2ed'!$C$3:$F$50,3,FALSE),0)</f>
        <v>1</v>
      </c>
      <c r="O42" s="61">
        <f>IFERROR(VLOOKUP(D42,'UCL SS 2ed'!$C$3:$F$50,4,FALSE),0)</f>
        <v>1</v>
      </c>
      <c r="P42" s="87">
        <f>IFERROR(N42/M42,0)</f>
        <v>0.5</v>
      </c>
      <c r="Q42" s="89">
        <f>+_xlfn.XLOOKUP(D42,'UCL WS 2ed'!$C$3:$C$37,'UCL WS 2ed'!$D$3:$D$37,0,0)</f>
        <v>0</v>
      </c>
      <c r="R42" s="45">
        <f>+_xlfn.XLOOKUP(D42,'UCL WS 2ed'!$C$3:$C$37,'UCL WS 2ed'!$E$3:$E$37,0,0)</f>
        <v>0</v>
      </c>
      <c r="S42" s="45">
        <f>+_xlfn.XLOOKUP(D42,'UCL WS 2ed'!$C$3:$C$37,'UCL WS 2ed'!$F$3:$F$37,0)</f>
        <v>0</v>
      </c>
      <c r="T42" s="83">
        <f>IFERROR(R42/Q42,0)</f>
        <v>0</v>
      </c>
      <c r="U42" s="63">
        <f>IFERROR(VLOOKUP(D42,'UCL SS 3ed'!$C$3:$F$24,2,FALSE),0)</f>
        <v>0</v>
      </c>
      <c r="V42" s="43">
        <f>IFERROR(VLOOKUP(D42,'UCL SS 3ed'!$C$3:$F$24,3,FALSE),0)</f>
        <v>0</v>
      </c>
      <c r="W42" s="61">
        <f>IFERROR(VLOOKUP(D42,'UCL SS 3ed'!$C$3:$F$24,4,FALSE),0)</f>
        <v>0</v>
      </c>
      <c r="X42" s="64">
        <f>IFERROR(V42/U42,0)</f>
        <v>0</v>
      </c>
      <c r="Y42" s="123">
        <f>E42+I42+M42+Q42+U42</f>
        <v>3</v>
      </c>
      <c r="Z42" s="46">
        <f>F42+J42+N42+R42+V42</f>
        <v>1</v>
      </c>
      <c r="AA42" s="46">
        <f>G42+K42+O42+S42+W42</f>
        <v>2</v>
      </c>
      <c r="AB42" s="47">
        <f>Z42/Y42</f>
        <v>0.33333333333333331</v>
      </c>
    </row>
    <row r="43" spans="2:29" x14ac:dyDescent="0.35">
      <c r="B43" s="85">
        <v>35</v>
      </c>
      <c r="C43" s="4" t="s">
        <v>145</v>
      </c>
      <c r="D43" s="86" t="s">
        <v>146</v>
      </c>
      <c r="E43" s="95">
        <f>IFERROR((VLOOKUP(D43,'UCL SS'!$C$3:$D$31,2,FALSE)),0)</f>
        <v>0</v>
      </c>
      <c r="F43" s="43">
        <f>IFERROR(VLOOKUP(D43,'UCL SS'!$C$3:$E$31,3,FALSE),0)</f>
        <v>0</v>
      </c>
      <c r="G43" s="43">
        <f>IFERROR(VLOOKUP(D43,'UCL SS'!$C$3:$F$31,4,FALSE),0)</f>
        <v>0</v>
      </c>
      <c r="H43" s="64">
        <f>IFERROR(F43/E43,0)</f>
        <v>0</v>
      </c>
      <c r="I43" s="67">
        <f>IFERROR(VLOOKUP(D43,'UCL WS'!$C$3:$F$35,2,FALSE),0)</f>
        <v>2</v>
      </c>
      <c r="J43" s="44">
        <f>IFERROR(VLOOKUP(D43,'UCL WS'!$C$3:$F$35,3,FALSE),0)</f>
        <v>1</v>
      </c>
      <c r="K43" s="45">
        <f>IFERROR(VLOOKUP(D43,'UCL WS'!$C$3:$F$35,4,FALSE),0)</f>
        <v>1</v>
      </c>
      <c r="L43" s="83">
        <f>IFERROR(J43/I43,0)</f>
        <v>0.5</v>
      </c>
      <c r="M43" s="63">
        <f>IFERROR(VLOOKUP(D43,'UCL SS 2ed'!$C$3:$F$50,2,FALSE),0)</f>
        <v>1</v>
      </c>
      <c r="N43" s="43">
        <f>IFERROR(VLOOKUP(D43,'UCL SS 2ed'!$C$3:$F$50,3,FALSE),0)</f>
        <v>1</v>
      </c>
      <c r="O43" s="61">
        <f>IFERROR(VLOOKUP(D43,'UCL SS 2ed'!$C$3:$F$50,4,FALSE),0)</f>
        <v>0</v>
      </c>
      <c r="P43" s="87">
        <f>IFERROR(N43/M43,0)</f>
        <v>1</v>
      </c>
      <c r="Q43" s="89">
        <f>+_xlfn.XLOOKUP(D43,'UCL WS 2ed'!$C$3:$C$37,'UCL WS 2ed'!$D$3:$D$37,0,0)</f>
        <v>0</v>
      </c>
      <c r="R43" s="45">
        <f>+_xlfn.XLOOKUP(D43,'UCL WS 2ed'!$C$3:$C$37,'UCL WS 2ed'!$E$3:$E$37,0,0)</f>
        <v>0</v>
      </c>
      <c r="S43" s="45">
        <f>+_xlfn.XLOOKUP(D43,'UCL WS 2ed'!$C$3:$C$37,'UCL WS 2ed'!$F$3:$F$37,0)</f>
        <v>0</v>
      </c>
      <c r="T43" s="83">
        <f>IFERROR(R43/Q43,0)</f>
        <v>0</v>
      </c>
      <c r="U43" s="63">
        <f>IFERROR(VLOOKUP(D43,'UCL SS 3ed'!$C$3:$F$24,2,FALSE),0)</f>
        <v>0</v>
      </c>
      <c r="V43" s="43">
        <f>IFERROR(VLOOKUP(D43,'UCL SS 3ed'!$C$3:$F$24,3,FALSE),0)</f>
        <v>0</v>
      </c>
      <c r="W43" s="61">
        <f>IFERROR(VLOOKUP(D43,'UCL SS 3ed'!$C$3:$F$24,4,FALSE),0)</f>
        <v>0</v>
      </c>
      <c r="X43" s="64">
        <f>IFERROR(V43/U43,0)</f>
        <v>0</v>
      </c>
      <c r="Y43" s="123">
        <f>E43+I43+M43+Q43+U43</f>
        <v>3</v>
      </c>
      <c r="Z43" s="46">
        <f>F43+J43+N43+R43+V43</f>
        <v>2</v>
      </c>
      <c r="AA43" s="46">
        <f>G43+K43+O43+S43+W43</f>
        <v>1</v>
      </c>
      <c r="AB43" s="47">
        <f>Z43/Y43</f>
        <v>0.66666666666666663</v>
      </c>
    </row>
    <row r="44" spans="2:29" x14ac:dyDescent="0.35">
      <c r="B44" s="106">
        <v>35</v>
      </c>
      <c r="C44" s="11" t="s">
        <v>135</v>
      </c>
      <c r="D44" s="107" t="s">
        <v>75</v>
      </c>
      <c r="E44" s="95">
        <f>IFERROR((VLOOKUP(D44,'UCL SS'!$C$3:$D$31,2,FALSE)),0)</f>
        <v>1</v>
      </c>
      <c r="F44" s="43">
        <f>IFERROR(VLOOKUP(D44,'UCL SS'!$C$3:$E$31,3,FALSE),0)</f>
        <v>0</v>
      </c>
      <c r="G44" s="43">
        <f>IFERROR(VLOOKUP(D44,'UCL SS'!$C$3:$F$31,4,FALSE),0)</f>
        <v>1</v>
      </c>
      <c r="H44" s="64">
        <f>IFERROR(F44/E44,0)</f>
        <v>0</v>
      </c>
      <c r="I44" s="67">
        <f>IFERROR(VLOOKUP(D44,'UCL WS'!$C$3:$F$35,2,FALSE),0)</f>
        <v>0</v>
      </c>
      <c r="J44" s="44">
        <f>IFERROR(VLOOKUP(D44,'UCL WS'!$C$3:$F$35,3,FALSE),0)</f>
        <v>0</v>
      </c>
      <c r="K44" s="45">
        <f>IFERROR(VLOOKUP(D44,'UCL WS'!$C$3:$F$35,4,FALSE),0)</f>
        <v>0</v>
      </c>
      <c r="L44" s="83">
        <f>IFERROR(J44/I44,0)</f>
        <v>0</v>
      </c>
      <c r="M44" s="63">
        <f>IFERROR(VLOOKUP(D44,'UCL SS 2ed'!$C$3:$F$50,2,FALSE),0)</f>
        <v>2</v>
      </c>
      <c r="N44" s="43">
        <f>IFERROR(VLOOKUP(D44,'UCL SS 2ed'!$C$3:$F$50,3,FALSE),0)</f>
        <v>1</v>
      </c>
      <c r="O44" s="61">
        <f>IFERROR(VLOOKUP(D44,'UCL SS 2ed'!$C$3:$F$50,4,FALSE),0)</f>
        <v>1</v>
      </c>
      <c r="P44" s="87">
        <f>IFERROR(N44/M44,0)</f>
        <v>0.5</v>
      </c>
      <c r="Q44" s="89">
        <f>+_xlfn.XLOOKUP(D44,'UCL WS 2ed'!$C$3:$C$37,'UCL WS 2ed'!$D$3:$D$37,0,0)</f>
        <v>0</v>
      </c>
      <c r="R44" s="45">
        <f>+_xlfn.XLOOKUP(D44,'UCL WS 2ed'!$C$3:$C$37,'UCL WS 2ed'!$E$3:$E$37,0,0)</f>
        <v>0</v>
      </c>
      <c r="S44" s="45">
        <f>+_xlfn.XLOOKUP(D44,'UCL WS 2ed'!$C$3:$C$37,'UCL WS 2ed'!$F$3:$F$37,0)</f>
        <v>0</v>
      </c>
      <c r="T44" s="83">
        <f>IFERROR(R44/Q44,0)</f>
        <v>0</v>
      </c>
      <c r="U44" s="63">
        <f>IFERROR(VLOOKUP(D44,'UCL SS 3ed'!$C$3:$F$24,2,FALSE),0)</f>
        <v>0</v>
      </c>
      <c r="V44" s="43">
        <f>IFERROR(VLOOKUP(D44,'UCL SS 3ed'!$C$3:$F$24,3,FALSE),0)</f>
        <v>0</v>
      </c>
      <c r="W44" s="61">
        <f>IFERROR(VLOOKUP(D44,'UCL SS 3ed'!$C$3:$F$24,4,FALSE),0)</f>
        <v>0</v>
      </c>
      <c r="X44" s="64">
        <f>IFERROR(V44/U44,0)</f>
        <v>0</v>
      </c>
      <c r="Y44" s="123">
        <f>E44+I44+M44+Q44+U44</f>
        <v>3</v>
      </c>
      <c r="Z44" s="46">
        <f>F44+J44+N44+R44+V44</f>
        <v>1</v>
      </c>
      <c r="AA44" s="46">
        <f>G44+K44+O44+S44+W44</f>
        <v>2</v>
      </c>
      <c r="AB44" s="47">
        <f>Z44/Y44</f>
        <v>0.33333333333333331</v>
      </c>
    </row>
    <row r="45" spans="2:29" x14ac:dyDescent="0.35">
      <c r="B45" s="106">
        <v>35</v>
      </c>
      <c r="C45" s="11" t="s">
        <v>219</v>
      </c>
      <c r="D45" s="107" t="s">
        <v>219</v>
      </c>
      <c r="E45" s="95">
        <f>IFERROR((VLOOKUP(D45,'UCL SS'!$C$3:$D$31,2,FALSE)),0)</f>
        <v>0</v>
      </c>
      <c r="F45" s="43">
        <f>IFERROR(VLOOKUP(D45,'UCL SS'!$C$3:$E$31,3,FALSE),0)</f>
        <v>0</v>
      </c>
      <c r="G45" s="43">
        <f>IFERROR(VLOOKUP(D45,'UCL SS'!$C$3:$F$31,4,FALSE),0)</f>
        <v>0</v>
      </c>
      <c r="H45" s="64">
        <f>IFERROR(F45/E45,0)</f>
        <v>0</v>
      </c>
      <c r="I45" s="67">
        <f>IFERROR(VLOOKUP(D45,'UCL WS'!$C$3:$F$35,2,FALSE),0)</f>
        <v>0</v>
      </c>
      <c r="J45" s="44">
        <f>IFERROR(VLOOKUP(D45,'UCL WS'!$C$3:$F$35,3,FALSE),0)</f>
        <v>0</v>
      </c>
      <c r="K45" s="45">
        <f>IFERROR(VLOOKUP(D45,'UCL WS'!$C$3:$F$35,4,FALSE),0)</f>
        <v>0</v>
      </c>
      <c r="L45" s="83">
        <f>IFERROR(J45/I45,0)</f>
        <v>0</v>
      </c>
      <c r="M45" s="63">
        <f>IFERROR(VLOOKUP(D45,'UCL SS 2ed'!$C$3:$F$50,2,FALSE),0)</f>
        <v>1</v>
      </c>
      <c r="N45" s="43">
        <f>IFERROR(VLOOKUP(D45,'UCL SS 2ed'!$C$3:$F$50,3,FALSE),0)</f>
        <v>0</v>
      </c>
      <c r="O45" s="61">
        <f>IFERROR(VLOOKUP(D45,'UCL SS 2ed'!$C$3:$F$50,4,FALSE),0)</f>
        <v>1</v>
      </c>
      <c r="P45" s="87">
        <f>IFERROR(N45/M45,0)</f>
        <v>0</v>
      </c>
      <c r="Q45" s="89">
        <f>+_xlfn.XLOOKUP(D45,'UCL WS 2ed'!$C$3:$C$37,'UCL WS 2ed'!$D$3:$D$37,0,0)</f>
        <v>2</v>
      </c>
      <c r="R45" s="45">
        <f>+_xlfn.XLOOKUP(D45,'UCL WS 2ed'!$C$3:$C$37,'UCL WS 2ed'!$E$3:$E$37,0,0)</f>
        <v>1</v>
      </c>
      <c r="S45" s="45">
        <f>+_xlfn.XLOOKUP(D45,'UCL WS 2ed'!$C$3:$C$37,'UCL WS 2ed'!$F$3:$F$37,0)</f>
        <v>1</v>
      </c>
      <c r="T45" s="83">
        <f>IFERROR(R45/Q45,0)</f>
        <v>0.5</v>
      </c>
      <c r="U45" s="63">
        <f>IFERROR(VLOOKUP(D45,'UCL SS 3ed'!$C$3:$F$24,2,FALSE),0)</f>
        <v>0</v>
      </c>
      <c r="V45" s="43">
        <f>IFERROR(VLOOKUP(D45,'UCL SS 3ed'!$C$3:$F$24,3,FALSE),0)</f>
        <v>0</v>
      </c>
      <c r="W45" s="61">
        <f>IFERROR(VLOOKUP(D45,'UCL SS 3ed'!$C$3:$F$24,4,FALSE),0)</f>
        <v>0</v>
      </c>
      <c r="X45" s="64">
        <f>IFERROR(V45/U45,0)</f>
        <v>0</v>
      </c>
      <c r="Y45" s="123">
        <f>E45+I45+M45+Q45+U45</f>
        <v>3</v>
      </c>
      <c r="Z45" s="46">
        <f>F45+J45+N45+R45+V45</f>
        <v>1</v>
      </c>
      <c r="AA45" s="46">
        <f>G45+K45+O45+S45+W45</f>
        <v>2</v>
      </c>
      <c r="AB45" s="47">
        <f>Z45/Y45</f>
        <v>0.33333333333333331</v>
      </c>
    </row>
    <row r="46" spans="2:29" x14ac:dyDescent="0.35">
      <c r="B46" s="106">
        <v>42</v>
      </c>
      <c r="C46" s="11" t="s">
        <v>155</v>
      </c>
      <c r="D46" s="107" t="s">
        <v>154</v>
      </c>
      <c r="E46" s="95">
        <f>IFERROR((VLOOKUP(D46,'UCL SS'!$C$3:$D$31,2,FALSE)),0)</f>
        <v>0</v>
      </c>
      <c r="F46" s="43">
        <f>IFERROR(VLOOKUP(D46,'UCL SS'!$C$3:$E$31,3,FALSE),0)</f>
        <v>0</v>
      </c>
      <c r="G46" s="43">
        <f>IFERROR(VLOOKUP(D46,'UCL SS'!$C$3:$F$31,4,FALSE),0)</f>
        <v>0</v>
      </c>
      <c r="H46" s="64">
        <f>IFERROR(F46/E46,0)</f>
        <v>0</v>
      </c>
      <c r="I46" s="67">
        <f>IFERROR(VLOOKUP(D46,'UCL WS'!$C$3:$F$35,2,FALSE),0)</f>
        <v>2</v>
      </c>
      <c r="J46" s="44">
        <f>IFERROR(VLOOKUP(D46,'UCL WS'!$C$3:$F$35,3,FALSE),0)</f>
        <v>0</v>
      </c>
      <c r="K46" s="45">
        <f>IFERROR(VLOOKUP(D46,'UCL WS'!$C$3:$F$35,4,FALSE),0)</f>
        <v>2</v>
      </c>
      <c r="L46" s="83">
        <f>IFERROR(J46/I46,0)</f>
        <v>0</v>
      </c>
      <c r="M46" s="63">
        <f>IFERROR(VLOOKUP(D46,'UCL SS 2ed'!$C$3:$F$50,2,FALSE),0)</f>
        <v>0</v>
      </c>
      <c r="N46" s="43">
        <f>IFERROR(VLOOKUP(D46,'UCL SS 2ed'!$C$3:$F$50,3,FALSE),0)</f>
        <v>0</v>
      </c>
      <c r="O46" s="61">
        <f>IFERROR(VLOOKUP(D46,'UCL SS 2ed'!$C$3:$F$50,4,FALSE),0)</f>
        <v>0</v>
      </c>
      <c r="P46" s="87">
        <f>IFERROR(N46/M46,0)</f>
        <v>0</v>
      </c>
      <c r="Q46" s="89">
        <f>+_xlfn.XLOOKUP(D46,'UCL WS 2ed'!$C$3:$C$37,'UCL WS 2ed'!$D$3:$D$37,0,0)</f>
        <v>0</v>
      </c>
      <c r="R46" s="45">
        <f>+_xlfn.XLOOKUP(D46,'UCL WS 2ed'!$C$3:$C$37,'UCL WS 2ed'!$E$3:$E$37,0,0)</f>
        <v>0</v>
      </c>
      <c r="S46" s="45">
        <f>+_xlfn.XLOOKUP(D46,'UCL WS 2ed'!$C$3:$C$37,'UCL WS 2ed'!$F$3:$F$37,0)</f>
        <v>0</v>
      </c>
      <c r="T46" s="83">
        <f>IFERROR(R46/Q46,0)</f>
        <v>0</v>
      </c>
      <c r="U46" s="63">
        <f>IFERROR(VLOOKUP(D46,'UCL SS 3ed'!$C$3:$F$24,2,FALSE),0)</f>
        <v>0</v>
      </c>
      <c r="V46" s="43">
        <f>IFERROR(VLOOKUP(D46,'UCL SS 3ed'!$C$3:$F$24,3,FALSE),0)</f>
        <v>0</v>
      </c>
      <c r="W46" s="61">
        <f>IFERROR(VLOOKUP(D46,'UCL SS 3ed'!$C$3:$F$24,4,FALSE),0)</f>
        <v>0</v>
      </c>
      <c r="X46" s="64">
        <f>IFERROR(V46/U46,0)</f>
        <v>0</v>
      </c>
      <c r="Y46" s="123">
        <f>E46+I46+M46+Q46+U46</f>
        <v>2</v>
      </c>
      <c r="Z46" s="46">
        <f>F46+J46+N46+R46+V46</f>
        <v>0</v>
      </c>
      <c r="AA46" s="46">
        <f>G46+K46+O46+S46+W46</f>
        <v>2</v>
      </c>
      <c r="AB46" s="47">
        <f>Z46/Y46</f>
        <v>0</v>
      </c>
    </row>
    <row r="47" spans="2:29" x14ac:dyDescent="0.35">
      <c r="B47" s="106">
        <v>42</v>
      </c>
      <c r="C47" s="11" t="s">
        <v>199</v>
      </c>
      <c r="D47" s="107" t="s">
        <v>200</v>
      </c>
      <c r="E47" s="95">
        <f>IFERROR((VLOOKUP(D47,'UCL SS'!$C$3:$D$31,2,FALSE)),0)</f>
        <v>0</v>
      </c>
      <c r="F47" s="43">
        <f>IFERROR(VLOOKUP(D47,'UCL SS'!$C$3:$E$31,3,FALSE),0)</f>
        <v>0</v>
      </c>
      <c r="G47" s="43">
        <f>IFERROR(VLOOKUP(D47,'UCL SS'!$C$3:$F$31,4,FALSE),0)</f>
        <v>0</v>
      </c>
      <c r="H47" s="64">
        <f>IFERROR(F47/E47,0)</f>
        <v>0</v>
      </c>
      <c r="I47" s="67">
        <f>IFERROR(VLOOKUP(D47,'UCL WS'!$C$3:$F$35,2,FALSE),0)</f>
        <v>0</v>
      </c>
      <c r="J47" s="44">
        <f>IFERROR(VLOOKUP(D47,'UCL WS'!$C$3:$F$35,3,FALSE),0)</f>
        <v>0</v>
      </c>
      <c r="K47" s="45">
        <f>IFERROR(VLOOKUP(D47,'UCL WS'!$C$3:$F$35,4,FALSE),0)</f>
        <v>0</v>
      </c>
      <c r="L47" s="83">
        <f>IFERROR(J47/I47,0)</f>
        <v>0</v>
      </c>
      <c r="M47" s="63">
        <f>IFERROR(VLOOKUP(D47,'UCL SS 2ed'!$C$3:$F$50,2,FALSE),0)</f>
        <v>2</v>
      </c>
      <c r="N47" s="43">
        <f>IFERROR(VLOOKUP(D47,'UCL SS 2ed'!$C$3:$F$50,3,FALSE),0)</f>
        <v>1</v>
      </c>
      <c r="O47" s="61">
        <f>IFERROR(VLOOKUP(D47,'UCL SS 2ed'!$C$3:$F$50,4,FALSE),0)</f>
        <v>1</v>
      </c>
      <c r="P47" s="87">
        <f>IFERROR(N47/M47,0)</f>
        <v>0.5</v>
      </c>
      <c r="Q47" s="89">
        <f>+_xlfn.XLOOKUP(D47,'UCL WS 2ed'!$C$3:$C$37,'UCL WS 2ed'!$D$3:$D$37,0,0)</f>
        <v>0</v>
      </c>
      <c r="R47" s="45">
        <f>+_xlfn.XLOOKUP(D47,'UCL WS 2ed'!$C$3:$C$37,'UCL WS 2ed'!$E$3:$E$37,0,0)</f>
        <v>0</v>
      </c>
      <c r="S47" s="45">
        <f>+_xlfn.XLOOKUP(D47,'UCL WS 2ed'!$C$3:$C$37,'UCL WS 2ed'!$F$3:$F$37,0)</f>
        <v>0</v>
      </c>
      <c r="T47" s="83">
        <f>IFERROR(R47/Q47,0)</f>
        <v>0</v>
      </c>
      <c r="U47" s="63">
        <f>IFERROR(VLOOKUP(D47,'UCL SS 3ed'!$C$3:$F$24,2,FALSE),0)</f>
        <v>0</v>
      </c>
      <c r="V47" s="43">
        <f>IFERROR(VLOOKUP(D47,'UCL SS 3ed'!$C$3:$F$24,3,FALSE),0)</f>
        <v>0</v>
      </c>
      <c r="W47" s="61">
        <f>IFERROR(VLOOKUP(D47,'UCL SS 3ed'!$C$3:$F$24,4,FALSE),0)</f>
        <v>0</v>
      </c>
      <c r="X47" s="64">
        <f>IFERROR(V47/U47,0)</f>
        <v>0</v>
      </c>
      <c r="Y47" s="123">
        <f>E47+I47+M47+Q47+U47</f>
        <v>2</v>
      </c>
      <c r="Z47" s="46">
        <f>F47+J47+N47+R47+V47</f>
        <v>1</v>
      </c>
      <c r="AA47" s="46">
        <f>G47+K47+O47+S47+W47</f>
        <v>1</v>
      </c>
      <c r="AB47" s="47">
        <f>Z47/Y47</f>
        <v>0.5</v>
      </c>
    </row>
    <row r="48" spans="2:29" x14ac:dyDescent="0.35">
      <c r="B48" s="106">
        <v>42</v>
      </c>
      <c r="C48" s="11" t="s">
        <v>224</v>
      </c>
      <c r="D48" s="107" t="s">
        <v>218</v>
      </c>
      <c r="E48" s="95">
        <f>IFERROR((VLOOKUP(D48,'UCL SS'!$C$3:$D$31,2,FALSE)),0)</f>
        <v>0</v>
      </c>
      <c r="F48" s="43">
        <f>IFERROR(VLOOKUP(D48,'UCL SS'!$C$3:$E$31,3,FALSE),0)</f>
        <v>0</v>
      </c>
      <c r="G48" s="43">
        <f>IFERROR(VLOOKUP(D48,'UCL SS'!$C$3:$F$31,4,FALSE),0)</f>
        <v>0</v>
      </c>
      <c r="H48" s="64">
        <f>IFERROR(F48/E48,0)</f>
        <v>0</v>
      </c>
      <c r="I48" s="67">
        <f>IFERROR(VLOOKUP(D48,'UCL WS'!$C$3:$F$35,2,FALSE),0)</f>
        <v>0</v>
      </c>
      <c r="J48" s="44">
        <f>IFERROR(VLOOKUP(D48,'UCL WS'!$C$3:$F$35,3,FALSE),0)</f>
        <v>0</v>
      </c>
      <c r="K48" s="45">
        <f>IFERROR(VLOOKUP(D48,'UCL WS'!$C$3:$F$35,4,FALSE),0)</f>
        <v>0</v>
      </c>
      <c r="L48" s="83">
        <f>IFERROR(J48/I48,0)</f>
        <v>0</v>
      </c>
      <c r="M48" s="63">
        <f>IFERROR(VLOOKUP(D48,'UCL SS 2ed'!$C$3:$F$50,2,FALSE),0)</f>
        <v>2</v>
      </c>
      <c r="N48" s="43">
        <f>IFERROR(VLOOKUP(D48,'UCL SS 2ed'!$C$3:$F$50,3,FALSE),0)</f>
        <v>2</v>
      </c>
      <c r="O48" s="61">
        <f>IFERROR(VLOOKUP(D48,'UCL SS 2ed'!$C$3:$F$50,4,FALSE),0)</f>
        <v>0</v>
      </c>
      <c r="P48" s="87">
        <f>IFERROR(N48/M48,0)</f>
        <v>1</v>
      </c>
      <c r="Q48" s="89">
        <f>+_xlfn.XLOOKUP(D48,'UCL WS 2ed'!$C$3:$C$37,'UCL WS 2ed'!$D$3:$D$37,0,0)</f>
        <v>0</v>
      </c>
      <c r="R48" s="45">
        <f>+_xlfn.XLOOKUP(D48,'UCL WS 2ed'!$C$3:$C$37,'UCL WS 2ed'!$E$3:$E$37,0,0)</f>
        <v>0</v>
      </c>
      <c r="S48" s="45">
        <f>+_xlfn.XLOOKUP(D48,'UCL WS 2ed'!$C$3:$C$37,'UCL WS 2ed'!$F$3:$F$37,0)</f>
        <v>0</v>
      </c>
      <c r="T48" s="83">
        <f>IFERROR(R48/Q48,0)</f>
        <v>0</v>
      </c>
      <c r="U48" s="63">
        <f>IFERROR(VLOOKUP(D48,'UCL SS 3ed'!$C$3:$F$24,2,FALSE),0)</f>
        <v>0</v>
      </c>
      <c r="V48" s="43">
        <f>IFERROR(VLOOKUP(D48,'UCL SS 3ed'!$C$3:$F$24,3,FALSE),0)</f>
        <v>0</v>
      </c>
      <c r="W48" s="61">
        <f>IFERROR(VLOOKUP(D48,'UCL SS 3ed'!$C$3:$F$24,4,FALSE),0)</f>
        <v>0</v>
      </c>
      <c r="X48" s="64">
        <f>IFERROR(V48/U48,0)</f>
        <v>0</v>
      </c>
      <c r="Y48" s="123">
        <f>E48+I48+M48+Q48+U48</f>
        <v>2</v>
      </c>
      <c r="Z48" s="46">
        <f>F48+J48+N48+R48+V48</f>
        <v>2</v>
      </c>
      <c r="AA48" s="46">
        <f>G48+K48+O48+S48+W48</f>
        <v>0</v>
      </c>
      <c r="AB48" s="47">
        <f>Z48/Y48</f>
        <v>1</v>
      </c>
    </row>
    <row r="49" spans="2:28" x14ac:dyDescent="0.35">
      <c r="B49" s="106">
        <v>42</v>
      </c>
      <c r="C49" s="11" t="s">
        <v>176</v>
      </c>
      <c r="D49" s="107" t="s">
        <v>177</v>
      </c>
      <c r="E49" s="95">
        <f>IFERROR((VLOOKUP(D49,'UCL SS'!$C$3:$D$31,2,FALSE)),0)</f>
        <v>0</v>
      </c>
      <c r="F49" s="43">
        <f>IFERROR(VLOOKUP(D49,'UCL SS'!$C$3:$E$31,3,FALSE),0)</f>
        <v>0</v>
      </c>
      <c r="G49" s="43">
        <f>IFERROR(VLOOKUP(D49,'UCL SS'!$C$3:$F$31,4,FALSE),0)</f>
        <v>0</v>
      </c>
      <c r="H49" s="64">
        <f>IFERROR(F49/E49,0)</f>
        <v>0</v>
      </c>
      <c r="I49" s="67">
        <f>IFERROR(VLOOKUP(D49,'UCL WS'!$C$3:$F$35,2,FALSE),0)</f>
        <v>0</v>
      </c>
      <c r="J49" s="44">
        <f>IFERROR(VLOOKUP(D49,'UCL WS'!$C$3:$F$35,3,FALSE),0)</f>
        <v>0</v>
      </c>
      <c r="K49" s="45">
        <f>IFERROR(VLOOKUP(D49,'UCL WS'!$C$3:$F$35,4,FALSE),0)</f>
        <v>0</v>
      </c>
      <c r="L49" s="83">
        <f>IFERROR(J49/I49,0)</f>
        <v>0</v>
      </c>
      <c r="M49" s="63">
        <f>IFERROR(VLOOKUP(D49,'UCL SS 2ed'!$C$3:$F$50,2,FALSE),0)</f>
        <v>1</v>
      </c>
      <c r="N49" s="43">
        <f>IFERROR(VLOOKUP(D49,'UCL SS 2ed'!$C$3:$F$50,3,FALSE),0)</f>
        <v>0</v>
      </c>
      <c r="O49" s="61">
        <f>IFERROR(VLOOKUP(D49,'UCL SS 2ed'!$C$3:$F$50,4,FALSE),0)</f>
        <v>1</v>
      </c>
      <c r="P49" s="87">
        <f>IFERROR(N49/M49,0)</f>
        <v>0</v>
      </c>
      <c r="Q49" s="89">
        <f>+_xlfn.XLOOKUP(D49,'UCL WS 2ed'!$C$3:$C$37,'UCL WS 2ed'!$D$3:$D$37,0,0)</f>
        <v>1</v>
      </c>
      <c r="R49" s="45">
        <f>+_xlfn.XLOOKUP(D49,'UCL WS 2ed'!$C$3:$C$37,'UCL WS 2ed'!$E$3:$E$37,0,0)</f>
        <v>0</v>
      </c>
      <c r="S49" s="45">
        <f>+_xlfn.XLOOKUP(D49,'UCL WS 2ed'!$C$3:$C$37,'UCL WS 2ed'!$F$3:$F$37,0)</f>
        <v>1</v>
      </c>
      <c r="T49" s="83">
        <f>IFERROR(R49/Q49,0)</f>
        <v>0</v>
      </c>
      <c r="U49" s="63">
        <f>IFERROR(VLOOKUP(D49,'UCL SS 3ed'!$C$3:$F$24,2,FALSE),0)</f>
        <v>0</v>
      </c>
      <c r="V49" s="43">
        <f>IFERROR(VLOOKUP(D49,'UCL SS 3ed'!$C$3:$F$24,3,FALSE),0)</f>
        <v>0</v>
      </c>
      <c r="W49" s="61">
        <f>IFERROR(VLOOKUP(D49,'UCL SS 3ed'!$C$3:$F$24,4,FALSE),0)</f>
        <v>0</v>
      </c>
      <c r="X49" s="64">
        <f>IFERROR(V49/U49,0)</f>
        <v>0</v>
      </c>
      <c r="Y49" s="123">
        <f>E49+I49+M49+Q49+U49</f>
        <v>2</v>
      </c>
      <c r="Z49" s="46">
        <f>F49+J49+N49+R49+V49</f>
        <v>0</v>
      </c>
      <c r="AA49" s="46">
        <f>G49+K49+O49+S49+W49</f>
        <v>2</v>
      </c>
      <c r="AB49" s="47">
        <f>Z49/Y49</f>
        <v>0</v>
      </c>
    </row>
    <row r="50" spans="2:28" x14ac:dyDescent="0.35">
      <c r="B50" s="106">
        <v>42</v>
      </c>
      <c r="C50" s="11" t="s">
        <v>27</v>
      </c>
      <c r="D50" s="107" t="s">
        <v>124</v>
      </c>
      <c r="E50" s="95">
        <f>IFERROR((VLOOKUP(D50,'UCL SS'!$C$3:$D$31,2,FALSE)),0)</f>
        <v>1</v>
      </c>
      <c r="F50" s="43">
        <f>IFERROR(VLOOKUP(D50,'UCL SS'!$C$3:$E$31,3,FALSE),0)</f>
        <v>1</v>
      </c>
      <c r="G50" s="43">
        <f>IFERROR(VLOOKUP(D50,'UCL SS'!$C$3:$F$31,4,FALSE),0)</f>
        <v>0</v>
      </c>
      <c r="H50" s="64">
        <f>IFERROR(F50/E50,0)</f>
        <v>1</v>
      </c>
      <c r="I50" s="67">
        <f>IFERROR(VLOOKUP(D50,'UCL WS'!$C$3:$F$35,2,FALSE),0)</f>
        <v>0</v>
      </c>
      <c r="J50" s="44">
        <f>IFERROR(VLOOKUP(D50,'UCL WS'!$C$3:$F$35,3,FALSE),0)</f>
        <v>0</v>
      </c>
      <c r="K50" s="45">
        <f>IFERROR(VLOOKUP(D50,'UCL WS'!$C$3:$F$35,4,FALSE),0)</f>
        <v>0</v>
      </c>
      <c r="L50" s="83">
        <f>IFERROR(J50/I50,0)</f>
        <v>0</v>
      </c>
      <c r="M50" s="63">
        <f>IFERROR(VLOOKUP(D50,'UCL SS 2ed'!$C$3:$F$50,2,FALSE),0)</f>
        <v>0</v>
      </c>
      <c r="N50" s="43">
        <f>IFERROR(VLOOKUP(D50,'UCL SS 2ed'!$C$3:$F$50,3,FALSE),0)</f>
        <v>0</v>
      </c>
      <c r="O50" s="61">
        <f>IFERROR(VLOOKUP(D50,'UCL SS 2ed'!$C$3:$F$50,4,FALSE),0)</f>
        <v>0</v>
      </c>
      <c r="P50" s="87">
        <f>IFERROR(N50/M50,0)</f>
        <v>0</v>
      </c>
      <c r="Q50" s="89">
        <f>+_xlfn.XLOOKUP(D50,'UCL WS 2ed'!$C$3:$C$37,'UCL WS 2ed'!$D$3:$D$37,0,0)</f>
        <v>1</v>
      </c>
      <c r="R50" s="45">
        <f>+_xlfn.XLOOKUP(D50,'UCL WS 2ed'!$C$3:$C$37,'UCL WS 2ed'!$E$3:$E$37,0,0)</f>
        <v>0</v>
      </c>
      <c r="S50" s="45">
        <f>+_xlfn.XLOOKUP(D50,'UCL WS 2ed'!$C$3:$C$37,'UCL WS 2ed'!$F$3:$F$37,0)</f>
        <v>1</v>
      </c>
      <c r="T50" s="83">
        <f>IFERROR(R50/Q50,0)</f>
        <v>0</v>
      </c>
      <c r="U50" s="63">
        <f>IFERROR(VLOOKUP(D50,'UCL SS 3ed'!$C$3:$F$24,2,FALSE),0)</f>
        <v>0</v>
      </c>
      <c r="V50" s="43">
        <f>IFERROR(VLOOKUP(D50,'UCL SS 3ed'!$C$3:$F$24,3,FALSE),0)</f>
        <v>0</v>
      </c>
      <c r="W50" s="61">
        <f>IFERROR(VLOOKUP(D50,'UCL SS 3ed'!$C$3:$F$24,4,FALSE),0)</f>
        <v>0</v>
      </c>
      <c r="X50" s="64">
        <f>IFERROR(V50/U50,0)</f>
        <v>0</v>
      </c>
      <c r="Y50" s="123">
        <f>E50+I50+M50+Q50+U50</f>
        <v>2</v>
      </c>
      <c r="Z50" s="46">
        <f>F50+J50+N50+R50+V50</f>
        <v>1</v>
      </c>
      <c r="AA50" s="46">
        <f>G50+K50+O50+S50+W50</f>
        <v>1</v>
      </c>
      <c r="AB50" s="47">
        <f>Z50/Y50</f>
        <v>0.5</v>
      </c>
    </row>
    <row r="51" spans="2:28" x14ac:dyDescent="0.35">
      <c r="B51" s="106">
        <v>42</v>
      </c>
      <c r="C51" s="11" t="s">
        <v>87</v>
      </c>
      <c r="D51" s="107" t="s">
        <v>86</v>
      </c>
      <c r="E51" s="95">
        <f>IFERROR((VLOOKUP(D51,'UCL SS'!$C$3:$D$31,2,FALSE)),0)</f>
        <v>0</v>
      </c>
      <c r="F51" s="43">
        <f>IFERROR(VLOOKUP(D51,'UCL SS'!$C$3:$E$31,3,FALSE),0)</f>
        <v>0</v>
      </c>
      <c r="G51" s="43">
        <f>IFERROR(VLOOKUP(D51,'UCL SS'!$C$3:$F$31,4,FALSE),0)</f>
        <v>0</v>
      </c>
      <c r="H51" s="64">
        <f>IFERROR(F51/E51,0)</f>
        <v>0</v>
      </c>
      <c r="I51" s="67">
        <f>IFERROR(VLOOKUP(D51,'UCL WS'!$C$3:$F$35,2,FALSE),0)</f>
        <v>1</v>
      </c>
      <c r="J51" s="44">
        <f>IFERROR(VLOOKUP(D51,'UCL WS'!$C$3:$F$35,3,FALSE),0)</f>
        <v>0</v>
      </c>
      <c r="K51" s="45">
        <f>IFERROR(VLOOKUP(D51,'UCL WS'!$C$3:$F$35,4,FALSE),0)</f>
        <v>1</v>
      </c>
      <c r="L51" s="83">
        <f>IFERROR(J51/I51,0)</f>
        <v>0</v>
      </c>
      <c r="M51" s="63">
        <f>IFERROR(VLOOKUP(D51,'UCL SS 2ed'!$C$3:$F$50,2,FALSE),0)</f>
        <v>0</v>
      </c>
      <c r="N51" s="43">
        <f>IFERROR(VLOOKUP(D51,'UCL SS 2ed'!$C$3:$F$50,3,FALSE),0)</f>
        <v>0</v>
      </c>
      <c r="O51" s="61">
        <f>IFERROR(VLOOKUP(D51,'UCL SS 2ed'!$C$3:$F$50,4,FALSE),0)</f>
        <v>0</v>
      </c>
      <c r="P51" s="87">
        <f>IFERROR(N51/M51,0)</f>
        <v>0</v>
      </c>
      <c r="Q51" s="89">
        <f>+_xlfn.XLOOKUP(D51,'UCL WS 2ed'!$C$3:$C$37,'UCL WS 2ed'!$D$3:$D$37,0,0)</f>
        <v>1</v>
      </c>
      <c r="R51" s="45">
        <f>+_xlfn.XLOOKUP(D51,'UCL WS 2ed'!$C$3:$C$37,'UCL WS 2ed'!$E$3:$E$37,0,0)</f>
        <v>0</v>
      </c>
      <c r="S51" s="45">
        <f>+_xlfn.XLOOKUP(D51,'UCL WS 2ed'!$C$3:$C$37,'UCL WS 2ed'!$F$3:$F$37,0)</f>
        <v>1</v>
      </c>
      <c r="T51" s="83">
        <f>IFERROR(R51/Q51,0)</f>
        <v>0</v>
      </c>
      <c r="U51" s="63">
        <f>IFERROR(VLOOKUP(D51,'UCL SS 3ed'!$C$3:$F$24,2,FALSE),0)</f>
        <v>0</v>
      </c>
      <c r="V51" s="43">
        <f>IFERROR(VLOOKUP(D51,'UCL SS 3ed'!$C$3:$F$24,3,FALSE),0)</f>
        <v>0</v>
      </c>
      <c r="W51" s="61">
        <f>IFERROR(VLOOKUP(D51,'UCL SS 3ed'!$C$3:$F$24,4,FALSE),0)</f>
        <v>0</v>
      </c>
      <c r="X51" s="64">
        <f>IFERROR(V51/U51,0)</f>
        <v>0</v>
      </c>
      <c r="Y51" s="123">
        <f>E51+I51+M51+Q51+U51</f>
        <v>2</v>
      </c>
      <c r="Z51" s="46">
        <f>F51+J51+N51+R51+V51</f>
        <v>0</v>
      </c>
      <c r="AA51" s="46">
        <f>G51+K51+O51+S51+W51</f>
        <v>2</v>
      </c>
      <c r="AB51" s="47">
        <f>Z51/Y51</f>
        <v>0</v>
      </c>
    </row>
    <row r="52" spans="2:28" x14ac:dyDescent="0.35">
      <c r="B52" s="106">
        <v>48</v>
      </c>
      <c r="C52" s="11" t="s">
        <v>35</v>
      </c>
      <c r="D52" s="107" t="s">
        <v>179</v>
      </c>
      <c r="E52" s="95">
        <f>IFERROR((VLOOKUP(D52,'UCL SS'!$C$3:$D$31,2,FALSE)),0)</f>
        <v>1</v>
      </c>
      <c r="F52" s="43">
        <f>IFERROR(VLOOKUP(D52,'UCL SS'!$C$3:$E$31,3,FALSE),0)</f>
        <v>1</v>
      </c>
      <c r="G52" s="43">
        <f>IFERROR(VLOOKUP(D52,'UCL SS'!$C$3:$F$31,4,FALSE),0)</f>
        <v>0</v>
      </c>
      <c r="H52" s="64">
        <f>IFERROR(F52/E52,0)</f>
        <v>1</v>
      </c>
      <c r="I52" s="67">
        <f>IFERROR(VLOOKUP(D52,'UCL WS'!$C$3:$F$35,2,FALSE),0)</f>
        <v>0</v>
      </c>
      <c r="J52" s="44">
        <f>IFERROR(VLOOKUP(D52,'UCL WS'!$C$3:$F$35,3,FALSE),0)</f>
        <v>0</v>
      </c>
      <c r="K52" s="45">
        <f>IFERROR(VLOOKUP(D52,'UCL WS'!$C$3:$F$35,4,FALSE),0)</f>
        <v>0</v>
      </c>
      <c r="L52" s="83">
        <f>IFERROR(J52/I52,0)</f>
        <v>0</v>
      </c>
      <c r="M52" s="63">
        <f>IFERROR(VLOOKUP(D52,'UCL SS 2ed'!$C$3:$F$50,2,FALSE),0)</f>
        <v>0</v>
      </c>
      <c r="N52" s="43">
        <f>IFERROR(VLOOKUP(D52,'UCL SS 2ed'!$C$3:$F$50,3,FALSE),0)</f>
        <v>0</v>
      </c>
      <c r="O52" s="61">
        <f>IFERROR(VLOOKUP(D52,'UCL SS 2ed'!$C$3:$F$50,4,FALSE),0)</f>
        <v>0</v>
      </c>
      <c r="P52" s="87">
        <f>IFERROR(N52/M52,0)</f>
        <v>0</v>
      </c>
      <c r="Q52" s="89">
        <f>+_xlfn.XLOOKUP(D52,'UCL WS 2ed'!$C$3:$C$37,'UCL WS 2ed'!$D$3:$D$37,0,0)</f>
        <v>0</v>
      </c>
      <c r="R52" s="45">
        <f>+_xlfn.XLOOKUP(D52,'UCL WS 2ed'!$C$3:$C$37,'UCL WS 2ed'!$E$3:$E$37,0,0)</f>
        <v>0</v>
      </c>
      <c r="S52" s="45">
        <f>+_xlfn.XLOOKUP(D52,'UCL WS 2ed'!$C$3:$C$37,'UCL WS 2ed'!$F$3:$F$37,0)</f>
        <v>0</v>
      </c>
      <c r="T52" s="83">
        <f>IFERROR(R52/Q52,0)</f>
        <v>0</v>
      </c>
      <c r="U52" s="63">
        <f>IFERROR(VLOOKUP(D52,'UCL SS 3ed'!$C$3:$F$24,2,FALSE),0)</f>
        <v>0</v>
      </c>
      <c r="V52" s="43">
        <f>IFERROR(VLOOKUP(D52,'UCL SS 3ed'!$C$3:$F$24,3,FALSE),0)</f>
        <v>0</v>
      </c>
      <c r="W52" s="61">
        <f>IFERROR(VLOOKUP(D52,'UCL SS 3ed'!$C$3:$F$24,4,FALSE),0)</f>
        <v>0</v>
      </c>
      <c r="X52" s="64">
        <f>IFERROR(V52/U52,0)</f>
        <v>0</v>
      </c>
      <c r="Y52" s="123">
        <f>E52+I52+M52+Q52+U52</f>
        <v>1</v>
      </c>
      <c r="Z52" s="46">
        <f>F52+J52+N52+R52+V52</f>
        <v>1</v>
      </c>
      <c r="AA52" s="46">
        <f>G52+K52+O52+S52+W52</f>
        <v>0</v>
      </c>
      <c r="AB52" s="47">
        <f>Z52/Y52</f>
        <v>1</v>
      </c>
    </row>
    <row r="53" spans="2:28" x14ac:dyDescent="0.35">
      <c r="B53" s="106">
        <v>48</v>
      </c>
      <c r="C53" s="11" t="s">
        <v>93</v>
      </c>
      <c r="D53" s="107" t="s">
        <v>92</v>
      </c>
      <c r="E53" s="95">
        <f>IFERROR((VLOOKUP(D53,'UCL SS'!$C$3:$D$31,2,FALSE)),0)</f>
        <v>0</v>
      </c>
      <c r="F53" s="43">
        <f>IFERROR(VLOOKUP(D53,'UCL SS'!$C$3:$E$31,3,FALSE),0)</f>
        <v>0</v>
      </c>
      <c r="G53" s="43">
        <f>IFERROR(VLOOKUP(D53,'UCL SS'!$C$3:$F$31,4,FALSE),0)</f>
        <v>0</v>
      </c>
      <c r="H53" s="64">
        <f>IFERROR(F53/E53,0)</f>
        <v>0</v>
      </c>
      <c r="I53" s="67">
        <f>IFERROR(VLOOKUP(D53,'UCL WS'!$C$3:$F$35,2,FALSE),0)</f>
        <v>1</v>
      </c>
      <c r="J53" s="44">
        <f>IFERROR(VLOOKUP(D53,'UCL WS'!$C$3:$F$35,3,FALSE),0)</f>
        <v>1</v>
      </c>
      <c r="K53" s="45">
        <f>IFERROR(VLOOKUP(D53,'UCL WS'!$C$3:$F$35,4,FALSE),0)</f>
        <v>0</v>
      </c>
      <c r="L53" s="83">
        <f>IFERROR(J53/I53,0)</f>
        <v>1</v>
      </c>
      <c r="M53" s="63">
        <f>IFERROR(VLOOKUP(D53,'UCL SS 2ed'!$C$3:$F$50,2,FALSE),0)</f>
        <v>0</v>
      </c>
      <c r="N53" s="43">
        <f>IFERROR(VLOOKUP(D53,'UCL SS 2ed'!$C$3:$F$50,3,FALSE),0)</f>
        <v>0</v>
      </c>
      <c r="O53" s="61">
        <f>IFERROR(VLOOKUP(D53,'UCL SS 2ed'!$C$3:$F$50,4,FALSE),0)</f>
        <v>0</v>
      </c>
      <c r="P53" s="87">
        <f>IFERROR(N53/M53,0)</f>
        <v>0</v>
      </c>
      <c r="Q53" s="89">
        <f>+_xlfn.XLOOKUP(D53,'UCL WS 2ed'!$C$3:$C$37,'UCL WS 2ed'!$D$3:$D$37,0,0)</f>
        <v>0</v>
      </c>
      <c r="R53" s="45">
        <f>+_xlfn.XLOOKUP(D53,'UCL WS 2ed'!$C$3:$C$37,'UCL WS 2ed'!$E$3:$E$37,0,0)</f>
        <v>0</v>
      </c>
      <c r="S53" s="45">
        <f>+_xlfn.XLOOKUP(D53,'UCL WS 2ed'!$C$3:$C$37,'UCL WS 2ed'!$F$3:$F$37,0)</f>
        <v>0</v>
      </c>
      <c r="T53" s="83">
        <f>IFERROR(R53/Q53,0)</f>
        <v>0</v>
      </c>
      <c r="U53" s="63">
        <f>IFERROR(VLOOKUP(D53,'UCL SS 3ed'!$C$3:$F$24,2,FALSE),0)</f>
        <v>0</v>
      </c>
      <c r="V53" s="43">
        <f>IFERROR(VLOOKUP(D53,'UCL SS 3ed'!$C$3:$F$24,3,FALSE),0)</f>
        <v>0</v>
      </c>
      <c r="W53" s="61">
        <f>IFERROR(VLOOKUP(D53,'UCL SS 3ed'!$C$3:$F$24,4,FALSE),0)</f>
        <v>0</v>
      </c>
      <c r="X53" s="64">
        <f>IFERROR(V53/U53,0)</f>
        <v>0</v>
      </c>
      <c r="Y53" s="123">
        <f>E53+I53+M53+Q53+U53</f>
        <v>1</v>
      </c>
      <c r="Z53" s="46">
        <f>F53+J53+N53+R53+V53</f>
        <v>1</v>
      </c>
      <c r="AA53" s="46">
        <f>G53+K53+O53+S53+W53</f>
        <v>0</v>
      </c>
      <c r="AB53" s="47">
        <f>Z53/Y53</f>
        <v>1</v>
      </c>
    </row>
    <row r="54" spans="2:28" x14ac:dyDescent="0.35">
      <c r="B54" s="106">
        <v>48</v>
      </c>
      <c r="C54" s="11"/>
      <c r="D54" s="107" t="s">
        <v>82</v>
      </c>
      <c r="E54" s="95">
        <f>IFERROR((VLOOKUP(D54,'UCL SS'!$C$3:$D$31,2,FALSE)),0)</f>
        <v>0</v>
      </c>
      <c r="F54" s="43">
        <f>IFERROR(VLOOKUP(D54,'UCL SS'!$C$3:$E$31,3,FALSE),0)</f>
        <v>0</v>
      </c>
      <c r="G54" s="43">
        <f>IFERROR(VLOOKUP(D54,'UCL SS'!$C$3:$F$31,4,FALSE),0)</f>
        <v>0</v>
      </c>
      <c r="H54" s="64">
        <f>IFERROR(F54/E54,0)</f>
        <v>0</v>
      </c>
      <c r="I54" s="67">
        <f>IFERROR(VLOOKUP(D54,'UCL WS'!$C$3:$F$35,2,FALSE),0)</f>
        <v>1</v>
      </c>
      <c r="J54" s="44">
        <f>IFERROR(VLOOKUP(D54,'UCL WS'!$C$3:$F$35,3,FALSE),0)</f>
        <v>1</v>
      </c>
      <c r="K54" s="45">
        <f>IFERROR(VLOOKUP(D54,'UCL WS'!$C$3:$F$35,4,FALSE),0)</f>
        <v>0</v>
      </c>
      <c r="L54" s="83">
        <f>IFERROR(J54/I54,0)</f>
        <v>1</v>
      </c>
      <c r="M54" s="63">
        <f>IFERROR(VLOOKUP(D54,'UCL SS 2ed'!$C$3:$F$50,2,FALSE),0)</f>
        <v>0</v>
      </c>
      <c r="N54" s="43">
        <f>IFERROR(VLOOKUP(D54,'UCL SS 2ed'!$C$3:$F$50,3,FALSE),0)</f>
        <v>0</v>
      </c>
      <c r="O54" s="61">
        <f>IFERROR(VLOOKUP(D54,'UCL SS 2ed'!$C$3:$F$50,4,FALSE),0)</f>
        <v>0</v>
      </c>
      <c r="P54" s="87">
        <f>IFERROR(N54/M54,0)</f>
        <v>0</v>
      </c>
      <c r="Q54" s="89">
        <f>+_xlfn.XLOOKUP(D54,'UCL WS 2ed'!$C$3:$C$37,'UCL WS 2ed'!$D$3:$D$37,0,0)</f>
        <v>0</v>
      </c>
      <c r="R54" s="45">
        <f>+_xlfn.XLOOKUP(D54,'UCL WS 2ed'!$C$3:$C$37,'UCL WS 2ed'!$E$3:$E$37,0,0)</f>
        <v>0</v>
      </c>
      <c r="S54" s="45">
        <f>+_xlfn.XLOOKUP(D54,'UCL WS 2ed'!$C$3:$C$37,'UCL WS 2ed'!$F$3:$F$37,0)</f>
        <v>0</v>
      </c>
      <c r="T54" s="83">
        <f>IFERROR(R54/Q54,0)</f>
        <v>0</v>
      </c>
      <c r="U54" s="63">
        <f>IFERROR(VLOOKUP(D54,'UCL SS 3ed'!$C$3:$F$24,2,FALSE),0)</f>
        <v>0</v>
      </c>
      <c r="V54" s="43">
        <f>IFERROR(VLOOKUP(D54,'UCL SS 3ed'!$C$3:$F$24,3,FALSE),0)</f>
        <v>0</v>
      </c>
      <c r="W54" s="61">
        <f>IFERROR(VLOOKUP(D54,'UCL SS 3ed'!$C$3:$F$24,4,FALSE),0)</f>
        <v>0</v>
      </c>
      <c r="X54" s="64">
        <f>IFERROR(V54/U54,0)</f>
        <v>0</v>
      </c>
      <c r="Y54" s="123">
        <f>E54+I54+M54+Q54+U54</f>
        <v>1</v>
      </c>
      <c r="Z54" s="46">
        <f>F54+J54+N54+R54+V54</f>
        <v>1</v>
      </c>
      <c r="AA54" s="46">
        <f>G54+K54+O54+S54+W54</f>
        <v>0</v>
      </c>
      <c r="AB54" s="47">
        <f>Z54/Y54</f>
        <v>1</v>
      </c>
    </row>
    <row r="55" spans="2:28" x14ac:dyDescent="0.35">
      <c r="B55" s="106">
        <v>48</v>
      </c>
      <c r="C55" s="11" t="s">
        <v>108</v>
      </c>
      <c r="D55" s="107" t="s">
        <v>109</v>
      </c>
      <c r="E55" s="95">
        <f>IFERROR((VLOOKUP(D55,'UCL SS'!$C$3:$D$31,2,FALSE)),0)</f>
        <v>0</v>
      </c>
      <c r="F55" s="43">
        <f>IFERROR(VLOOKUP(D55,'UCL SS'!$C$3:$E$31,3,FALSE),0)</f>
        <v>0</v>
      </c>
      <c r="G55" s="43">
        <f>IFERROR(VLOOKUP(D55,'UCL SS'!$C$3:$F$31,4,FALSE),0)</f>
        <v>0</v>
      </c>
      <c r="H55" s="64">
        <f>IFERROR(F55/E55,0)</f>
        <v>0</v>
      </c>
      <c r="I55" s="67">
        <f>IFERROR(VLOOKUP(D55,'UCL WS'!$C$3:$F$35,2,FALSE),0)</f>
        <v>1</v>
      </c>
      <c r="J55" s="44">
        <f>IFERROR(VLOOKUP(D55,'UCL WS'!$C$3:$F$35,3,FALSE),0)</f>
        <v>1</v>
      </c>
      <c r="K55" s="45">
        <f>IFERROR(VLOOKUP(D55,'UCL WS'!$C$3:$F$35,4,FALSE),0)</f>
        <v>0</v>
      </c>
      <c r="L55" s="83">
        <f>IFERROR(J55/I55,0)</f>
        <v>1</v>
      </c>
      <c r="M55" s="63">
        <f>IFERROR(VLOOKUP(D55,'UCL SS 2ed'!$C$3:$F$50,2,FALSE),0)</f>
        <v>0</v>
      </c>
      <c r="N55" s="43">
        <f>IFERROR(VLOOKUP(D55,'UCL SS 2ed'!$C$3:$F$50,3,FALSE),0)</f>
        <v>0</v>
      </c>
      <c r="O55" s="61">
        <f>IFERROR(VLOOKUP(D55,'UCL SS 2ed'!$C$3:$F$50,4,FALSE),0)</f>
        <v>0</v>
      </c>
      <c r="P55" s="87">
        <f>IFERROR(N55/M55,0)</f>
        <v>0</v>
      </c>
      <c r="Q55" s="89">
        <f>+_xlfn.XLOOKUP(D55,'UCL WS 2ed'!$C$3:$C$37,'UCL WS 2ed'!$D$3:$D$37,0,0)</f>
        <v>0</v>
      </c>
      <c r="R55" s="45">
        <f>+_xlfn.XLOOKUP(D55,'UCL WS 2ed'!$C$3:$C$37,'UCL WS 2ed'!$E$3:$E$37,0,0)</f>
        <v>0</v>
      </c>
      <c r="S55" s="45">
        <f>+_xlfn.XLOOKUP(D55,'UCL WS 2ed'!$C$3:$C$37,'UCL WS 2ed'!$F$3:$F$37,0)</f>
        <v>0</v>
      </c>
      <c r="T55" s="83">
        <f>IFERROR(R55/Q55,0)</f>
        <v>0</v>
      </c>
      <c r="U55" s="63">
        <f>IFERROR(VLOOKUP(D55,'UCL SS 3ed'!$C$3:$F$24,2,FALSE),0)</f>
        <v>0</v>
      </c>
      <c r="V55" s="43">
        <f>IFERROR(VLOOKUP(D55,'UCL SS 3ed'!$C$3:$F$24,3,FALSE),0)</f>
        <v>0</v>
      </c>
      <c r="W55" s="61">
        <f>IFERROR(VLOOKUP(D55,'UCL SS 3ed'!$C$3:$F$24,4,FALSE),0)</f>
        <v>0</v>
      </c>
      <c r="X55" s="64">
        <f>IFERROR(V55/U55,0)</f>
        <v>0</v>
      </c>
      <c r="Y55" s="123">
        <f>E55+I55+M55+Q55+U55</f>
        <v>1</v>
      </c>
      <c r="Z55" s="46">
        <f>F55+J55+N55+R55+V55</f>
        <v>1</v>
      </c>
      <c r="AA55" s="46">
        <f>G55+K55+O55+S55+W55</f>
        <v>0</v>
      </c>
      <c r="AB55" s="47">
        <f>Z55/Y55</f>
        <v>1</v>
      </c>
    </row>
    <row r="56" spans="2:28" x14ac:dyDescent="0.35">
      <c r="B56" s="106">
        <v>48</v>
      </c>
      <c r="C56" s="11" t="s">
        <v>123</v>
      </c>
      <c r="D56" s="107" t="s">
        <v>68</v>
      </c>
      <c r="E56" s="95">
        <f>IFERROR((VLOOKUP(D56,'UCL SS'!$C$3:$D$31,2,FALSE)),0)</f>
        <v>1</v>
      </c>
      <c r="F56" s="43">
        <f>IFERROR(VLOOKUP(D56,'UCL SS'!$C$3:$E$31,3,FALSE),0)</f>
        <v>1</v>
      </c>
      <c r="G56" s="43">
        <f>IFERROR(VLOOKUP(D56,'UCL SS'!$C$3:$F$31,4,FALSE),0)</f>
        <v>0</v>
      </c>
      <c r="H56" s="64">
        <f>IFERROR(F56/E56,0)</f>
        <v>1</v>
      </c>
      <c r="I56" s="67">
        <f>IFERROR(VLOOKUP(D56,'UCL WS'!$C$3:$F$35,2,FALSE),0)</f>
        <v>0</v>
      </c>
      <c r="J56" s="44">
        <f>IFERROR(VLOOKUP(D56,'UCL WS'!$C$3:$F$35,3,FALSE),0)</f>
        <v>0</v>
      </c>
      <c r="K56" s="45">
        <f>IFERROR(VLOOKUP(D56,'UCL WS'!$C$3:$F$35,4,FALSE),0)</f>
        <v>0</v>
      </c>
      <c r="L56" s="83">
        <f>IFERROR(J56/I56,0)</f>
        <v>0</v>
      </c>
      <c r="M56" s="63">
        <f>IFERROR(VLOOKUP(D56,'UCL SS 2ed'!$C$3:$F$50,2,FALSE),0)</f>
        <v>0</v>
      </c>
      <c r="N56" s="43">
        <f>IFERROR(VLOOKUP(D56,'UCL SS 2ed'!$C$3:$F$50,3,FALSE),0)</f>
        <v>0</v>
      </c>
      <c r="O56" s="61">
        <f>IFERROR(VLOOKUP(D56,'UCL SS 2ed'!$C$3:$F$50,4,FALSE),0)</f>
        <v>0</v>
      </c>
      <c r="P56" s="87">
        <f>IFERROR(N56/M56,0)</f>
        <v>0</v>
      </c>
      <c r="Q56" s="89">
        <f>+_xlfn.XLOOKUP(D56,'UCL WS 2ed'!$C$3:$C$37,'UCL WS 2ed'!$D$3:$D$37,0,0)</f>
        <v>0</v>
      </c>
      <c r="R56" s="45">
        <f>+_xlfn.XLOOKUP(D56,'UCL WS 2ed'!$C$3:$C$37,'UCL WS 2ed'!$E$3:$E$37,0,0)</f>
        <v>0</v>
      </c>
      <c r="S56" s="45">
        <f>+_xlfn.XLOOKUP(D56,'UCL WS 2ed'!$C$3:$C$37,'UCL WS 2ed'!$F$3:$F$37,0)</f>
        <v>0</v>
      </c>
      <c r="T56" s="83">
        <f>IFERROR(R56/Q56,0)</f>
        <v>0</v>
      </c>
      <c r="U56" s="63">
        <f>IFERROR(VLOOKUP(D56,'UCL SS 3ed'!$C$3:$F$24,2,FALSE),0)</f>
        <v>0</v>
      </c>
      <c r="V56" s="43">
        <f>IFERROR(VLOOKUP(D56,'UCL SS 3ed'!$C$3:$F$24,3,FALSE),0)</f>
        <v>0</v>
      </c>
      <c r="W56" s="61">
        <f>IFERROR(VLOOKUP(D56,'UCL SS 3ed'!$C$3:$F$24,4,FALSE),0)</f>
        <v>0</v>
      </c>
      <c r="X56" s="64">
        <f>IFERROR(V56/U56,0)</f>
        <v>0</v>
      </c>
      <c r="Y56" s="123">
        <f>E56+I56+M56+Q56+U56</f>
        <v>1</v>
      </c>
      <c r="Z56" s="46">
        <f>F56+J56+N56+R56+V56</f>
        <v>1</v>
      </c>
      <c r="AA56" s="46">
        <f>G56+K56+O56+S56+W56</f>
        <v>0</v>
      </c>
      <c r="AB56" s="47">
        <f>Z56/Y56</f>
        <v>1</v>
      </c>
    </row>
    <row r="57" spans="2:28" x14ac:dyDescent="0.35">
      <c r="B57" s="106">
        <v>48</v>
      </c>
      <c r="C57" s="11" t="s">
        <v>128</v>
      </c>
      <c r="D57" s="107" t="s">
        <v>129</v>
      </c>
      <c r="E57" s="95">
        <f>IFERROR((VLOOKUP(D57,'UCL SS'!$C$3:$D$31,2,FALSE)),0)</f>
        <v>1</v>
      </c>
      <c r="F57" s="43">
        <f>IFERROR(VLOOKUP(D57,'UCL SS'!$C$3:$E$31,3,FALSE),0)</f>
        <v>0</v>
      </c>
      <c r="G57" s="43">
        <f>IFERROR(VLOOKUP(D57,'UCL SS'!$C$3:$F$31,4,FALSE),0)</f>
        <v>1</v>
      </c>
      <c r="H57" s="64">
        <f>IFERROR(F57/E57,0)</f>
        <v>0</v>
      </c>
      <c r="I57" s="67">
        <f>IFERROR(VLOOKUP(D57,'UCL WS'!$C$3:$F$35,2,FALSE),0)</f>
        <v>0</v>
      </c>
      <c r="J57" s="44">
        <f>IFERROR(VLOOKUP(D57,'UCL WS'!$C$3:$F$35,3,FALSE),0)</f>
        <v>0</v>
      </c>
      <c r="K57" s="45">
        <f>IFERROR(VLOOKUP(D57,'UCL WS'!$C$3:$F$35,4,FALSE),0)</f>
        <v>0</v>
      </c>
      <c r="L57" s="83">
        <f>IFERROR(J57/I57,0)</f>
        <v>0</v>
      </c>
      <c r="M57" s="63">
        <f>IFERROR(VLOOKUP(D57,'UCL SS 2ed'!$C$3:$F$50,2,FALSE),0)</f>
        <v>0</v>
      </c>
      <c r="N57" s="43">
        <f>IFERROR(VLOOKUP(D57,'UCL SS 2ed'!$C$3:$F$50,3,FALSE),0)</f>
        <v>0</v>
      </c>
      <c r="O57" s="61">
        <f>IFERROR(VLOOKUP(D57,'UCL SS 2ed'!$C$3:$F$50,4,FALSE),0)</f>
        <v>0</v>
      </c>
      <c r="P57" s="87">
        <f>IFERROR(N57/M57,0)</f>
        <v>0</v>
      </c>
      <c r="Q57" s="89">
        <f>+_xlfn.XLOOKUP(D57,'UCL WS 2ed'!$C$3:$C$37,'UCL WS 2ed'!$D$3:$D$37,0,0)</f>
        <v>0</v>
      </c>
      <c r="R57" s="45">
        <f>+_xlfn.XLOOKUP(D57,'UCL WS 2ed'!$C$3:$C$37,'UCL WS 2ed'!$E$3:$E$37,0,0)</f>
        <v>0</v>
      </c>
      <c r="S57" s="45">
        <f>+_xlfn.XLOOKUP(D57,'UCL WS 2ed'!$C$3:$C$37,'UCL WS 2ed'!$F$3:$F$37,0)</f>
        <v>0</v>
      </c>
      <c r="T57" s="83">
        <f>IFERROR(R57/Q57,0)</f>
        <v>0</v>
      </c>
      <c r="U57" s="63">
        <f>IFERROR(VLOOKUP(D57,'UCL SS 3ed'!$C$3:$F$24,2,FALSE),0)</f>
        <v>0</v>
      </c>
      <c r="V57" s="43">
        <f>IFERROR(VLOOKUP(D57,'UCL SS 3ed'!$C$3:$F$24,3,FALSE),0)</f>
        <v>0</v>
      </c>
      <c r="W57" s="61">
        <f>IFERROR(VLOOKUP(D57,'UCL SS 3ed'!$C$3:$F$24,4,FALSE),0)</f>
        <v>0</v>
      </c>
      <c r="X57" s="64">
        <f>IFERROR(V57/U57,0)</f>
        <v>0</v>
      </c>
      <c r="Y57" s="123">
        <f>E57+I57+M57+Q57+U57</f>
        <v>1</v>
      </c>
      <c r="Z57" s="46">
        <f>F57+J57+N57+R57+V57</f>
        <v>0</v>
      </c>
      <c r="AA57" s="46">
        <f>G57+K57+O57+S57+W57</f>
        <v>1</v>
      </c>
      <c r="AB57" s="47">
        <f>Z57/Y57</f>
        <v>0</v>
      </c>
    </row>
    <row r="58" spans="2:28" x14ac:dyDescent="0.35">
      <c r="B58" s="106">
        <v>48</v>
      </c>
      <c r="C58" s="11" t="s">
        <v>30</v>
      </c>
      <c r="D58" s="107" t="s">
        <v>130</v>
      </c>
      <c r="E58" s="95">
        <f>IFERROR((VLOOKUP(D58,'UCL SS'!$C$3:$D$31,2,FALSE)),0)</f>
        <v>1</v>
      </c>
      <c r="F58" s="43">
        <f>IFERROR(VLOOKUP(D58,'UCL SS'!$C$3:$E$31,3,FALSE),0)</f>
        <v>0</v>
      </c>
      <c r="G58" s="43">
        <f>IFERROR(VLOOKUP(D58,'UCL SS'!$C$3:$F$31,4,FALSE),0)</f>
        <v>1</v>
      </c>
      <c r="H58" s="64">
        <f>IFERROR(F58/E58,0)</f>
        <v>0</v>
      </c>
      <c r="I58" s="67">
        <f>IFERROR(VLOOKUP(D58,'UCL WS'!$C$3:$F$35,2,FALSE),0)</f>
        <v>0</v>
      </c>
      <c r="J58" s="44">
        <f>IFERROR(VLOOKUP(D58,'UCL WS'!$C$3:$F$35,3,FALSE),0)</f>
        <v>0</v>
      </c>
      <c r="K58" s="45">
        <f>IFERROR(VLOOKUP(D58,'UCL WS'!$C$3:$F$35,4,FALSE),0)</f>
        <v>0</v>
      </c>
      <c r="L58" s="83">
        <f>IFERROR(J58/I58,0)</f>
        <v>0</v>
      </c>
      <c r="M58" s="63">
        <f>IFERROR(VLOOKUP(D58,'UCL SS 2ed'!$C$3:$F$50,2,FALSE),0)</f>
        <v>0</v>
      </c>
      <c r="N58" s="43">
        <f>IFERROR(VLOOKUP(D58,'UCL SS 2ed'!$C$3:$F$50,3,FALSE),0)</f>
        <v>0</v>
      </c>
      <c r="O58" s="61">
        <f>IFERROR(VLOOKUP(D58,'UCL SS 2ed'!$C$3:$F$50,4,FALSE),0)</f>
        <v>0</v>
      </c>
      <c r="P58" s="87">
        <f>IFERROR(N58/M58,0)</f>
        <v>0</v>
      </c>
      <c r="Q58" s="89">
        <f>+_xlfn.XLOOKUP(D58,'UCL WS 2ed'!$C$3:$C$37,'UCL WS 2ed'!$D$3:$D$37,0,0)</f>
        <v>0</v>
      </c>
      <c r="R58" s="45">
        <f>+_xlfn.XLOOKUP(D58,'UCL WS 2ed'!$C$3:$C$37,'UCL WS 2ed'!$E$3:$E$37,0,0)</f>
        <v>0</v>
      </c>
      <c r="S58" s="45">
        <f>+_xlfn.XLOOKUP(D58,'UCL WS 2ed'!$C$3:$C$37,'UCL WS 2ed'!$F$3:$F$37,0)</f>
        <v>0</v>
      </c>
      <c r="T58" s="83">
        <f>IFERROR(R58/Q58,0)</f>
        <v>0</v>
      </c>
      <c r="U58" s="63">
        <f>IFERROR(VLOOKUP(D58,'UCL SS 3ed'!$C$3:$F$24,2,FALSE),0)</f>
        <v>0</v>
      </c>
      <c r="V58" s="43">
        <f>IFERROR(VLOOKUP(D58,'UCL SS 3ed'!$C$3:$F$24,3,FALSE),0)</f>
        <v>0</v>
      </c>
      <c r="W58" s="61">
        <f>IFERROR(VLOOKUP(D58,'UCL SS 3ed'!$C$3:$F$24,4,FALSE),0)</f>
        <v>0</v>
      </c>
      <c r="X58" s="64">
        <f>IFERROR(V58/U58,0)</f>
        <v>0</v>
      </c>
      <c r="Y58" s="123">
        <f>E58+I58+M58+Q58+U58</f>
        <v>1</v>
      </c>
      <c r="Z58" s="46">
        <f>F58+J58+N58+R58+V58</f>
        <v>0</v>
      </c>
      <c r="AA58" s="46">
        <f>G58+K58+O58+S58+W58</f>
        <v>1</v>
      </c>
      <c r="AB58" s="47">
        <f>Z58/Y58</f>
        <v>0</v>
      </c>
    </row>
    <row r="59" spans="2:28" x14ac:dyDescent="0.35">
      <c r="B59" s="106">
        <v>48</v>
      </c>
      <c r="C59" s="11" t="s">
        <v>131</v>
      </c>
      <c r="D59" s="107" t="s">
        <v>72</v>
      </c>
      <c r="E59" s="95">
        <f>IFERROR((VLOOKUP(D59,'UCL SS'!$C$3:$D$31,2,FALSE)),0)</f>
        <v>1</v>
      </c>
      <c r="F59" s="43">
        <f>IFERROR(VLOOKUP(D59,'UCL SS'!$C$3:$E$31,3,FALSE),0)</f>
        <v>0</v>
      </c>
      <c r="G59" s="43">
        <f>IFERROR(VLOOKUP(D59,'UCL SS'!$C$3:$F$31,4,FALSE),0)</f>
        <v>1</v>
      </c>
      <c r="H59" s="64">
        <f>IFERROR(F59/E59,0)</f>
        <v>0</v>
      </c>
      <c r="I59" s="67">
        <f>IFERROR(VLOOKUP(D59,'UCL WS'!$C$3:$F$35,2,FALSE),0)</f>
        <v>0</v>
      </c>
      <c r="J59" s="44">
        <f>IFERROR(VLOOKUP(D59,'UCL WS'!$C$3:$F$35,3,FALSE),0)</f>
        <v>0</v>
      </c>
      <c r="K59" s="45">
        <f>IFERROR(VLOOKUP(D59,'UCL WS'!$C$3:$F$35,4,FALSE),0)</f>
        <v>0</v>
      </c>
      <c r="L59" s="83">
        <f>IFERROR(J59/I59,0)</f>
        <v>0</v>
      </c>
      <c r="M59" s="63">
        <f>IFERROR(VLOOKUP(D59,'UCL SS 2ed'!$C$3:$F$50,2,FALSE),0)</f>
        <v>0</v>
      </c>
      <c r="N59" s="43">
        <f>IFERROR(VLOOKUP(D59,'UCL SS 2ed'!$C$3:$F$50,3,FALSE),0)</f>
        <v>0</v>
      </c>
      <c r="O59" s="61">
        <f>IFERROR(VLOOKUP(D59,'UCL SS 2ed'!$C$3:$F$50,4,FALSE),0)</f>
        <v>0</v>
      </c>
      <c r="P59" s="87">
        <f>IFERROR(N59/M59,0)</f>
        <v>0</v>
      </c>
      <c r="Q59" s="89">
        <f>+_xlfn.XLOOKUP(D59,'UCL WS 2ed'!$C$3:$C$37,'UCL WS 2ed'!$D$3:$D$37,0,0)</f>
        <v>0</v>
      </c>
      <c r="R59" s="45">
        <f>+_xlfn.XLOOKUP(D59,'UCL WS 2ed'!$C$3:$C$37,'UCL WS 2ed'!$E$3:$E$37,0,0)</f>
        <v>0</v>
      </c>
      <c r="S59" s="45">
        <f>+_xlfn.XLOOKUP(D59,'UCL WS 2ed'!$C$3:$C$37,'UCL WS 2ed'!$F$3:$F$37,0)</f>
        <v>0</v>
      </c>
      <c r="T59" s="83">
        <f>IFERROR(R59/Q59,0)</f>
        <v>0</v>
      </c>
      <c r="U59" s="63">
        <f>IFERROR(VLOOKUP(D59,'UCL SS 3ed'!$C$3:$F$24,2,FALSE),0)</f>
        <v>0</v>
      </c>
      <c r="V59" s="43">
        <f>IFERROR(VLOOKUP(D59,'UCL SS 3ed'!$C$3:$F$24,3,FALSE),0)</f>
        <v>0</v>
      </c>
      <c r="W59" s="61">
        <f>IFERROR(VLOOKUP(D59,'UCL SS 3ed'!$C$3:$F$24,4,FALSE),0)</f>
        <v>0</v>
      </c>
      <c r="X59" s="64">
        <f>IFERROR(V59/U59,0)</f>
        <v>0</v>
      </c>
      <c r="Y59" s="123">
        <f>E59+I59+M59+Q59+U59</f>
        <v>1</v>
      </c>
      <c r="Z59" s="46">
        <f>F59+J59+N59+R59+V59</f>
        <v>0</v>
      </c>
      <c r="AA59" s="46">
        <f>G59+K59+O59+S59+W59</f>
        <v>1</v>
      </c>
      <c r="AB59" s="47">
        <f>Z59/Y59</f>
        <v>0</v>
      </c>
    </row>
    <row r="60" spans="2:28" x14ac:dyDescent="0.35">
      <c r="B60" s="106">
        <v>48</v>
      </c>
      <c r="C60" s="11" t="s">
        <v>33</v>
      </c>
      <c r="D60" s="107" t="s">
        <v>132</v>
      </c>
      <c r="E60" s="95">
        <f>IFERROR((VLOOKUP(D60,'UCL SS'!$C$3:$D$31,2,FALSE)),0)</f>
        <v>1</v>
      </c>
      <c r="F60" s="43">
        <f>IFERROR(VLOOKUP(D60,'UCL SS'!$C$3:$E$31,3,FALSE),0)</f>
        <v>0</v>
      </c>
      <c r="G60" s="43">
        <f>IFERROR(VLOOKUP(D60,'UCL SS'!$C$3:$F$31,4,FALSE),0)</f>
        <v>1</v>
      </c>
      <c r="H60" s="64">
        <f>IFERROR(F60/E60,0)</f>
        <v>0</v>
      </c>
      <c r="I60" s="67">
        <f>IFERROR(VLOOKUP(D60,'UCL WS'!$C$3:$F$35,2,FALSE),0)</f>
        <v>0</v>
      </c>
      <c r="J60" s="44">
        <f>IFERROR(VLOOKUP(D60,'UCL WS'!$C$3:$F$35,3,FALSE),0)</f>
        <v>0</v>
      </c>
      <c r="K60" s="45">
        <f>IFERROR(VLOOKUP(D60,'UCL WS'!$C$3:$F$35,4,FALSE),0)</f>
        <v>0</v>
      </c>
      <c r="L60" s="83">
        <f>IFERROR(J60/I60,0)</f>
        <v>0</v>
      </c>
      <c r="M60" s="63">
        <f>IFERROR(VLOOKUP(D60,'UCL SS 2ed'!$C$3:$F$50,2,FALSE),0)</f>
        <v>0</v>
      </c>
      <c r="N60" s="43">
        <f>IFERROR(VLOOKUP(D60,'UCL SS 2ed'!$C$3:$F$50,3,FALSE),0)</f>
        <v>0</v>
      </c>
      <c r="O60" s="61">
        <f>IFERROR(VLOOKUP(D60,'UCL SS 2ed'!$C$3:$F$50,4,FALSE),0)</f>
        <v>0</v>
      </c>
      <c r="P60" s="87">
        <f>IFERROR(N60/M60,0)</f>
        <v>0</v>
      </c>
      <c r="Q60" s="89">
        <f>+_xlfn.XLOOKUP(D60,'UCL WS 2ed'!$C$3:$C$37,'UCL WS 2ed'!$D$3:$D$37,0,0)</f>
        <v>0</v>
      </c>
      <c r="R60" s="45">
        <f>+_xlfn.XLOOKUP(D60,'UCL WS 2ed'!$C$3:$C$37,'UCL WS 2ed'!$E$3:$E$37,0,0)</f>
        <v>0</v>
      </c>
      <c r="S60" s="45">
        <f>+_xlfn.XLOOKUP(D60,'UCL WS 2ed'!$C$3:$C$37,'UCL WS 2ed'!$F$3:$F$37,0)</f>
        <v>0</v>
      </c>
      <c r="T60" s="83">
        <f>IFERROR(R60/Q60,0)</f>
        <v>0</v>
      </c>
      <c r="U60" s="63">
        <f>IFERROR(VLOOKUP(D60,'UCL SS 3ed'!$C$3:$F$24,2,FALSE),0)</f>
        <v>0</v>
      </c>
      <c r="V60" s="43">
        <f>IFERROR(VLOOKUP(D60,'UCL SS 3ed'!$C$3:$F$24,3,FALSE),0)</f>
        <v>0</v>
      </c>
      <c r="W60" s="61">
        <f>IFERROR(VLOOKUP(D60,'UCL SS 3ed'!$C$3:$F$24,4,FALSE),0)</f>
        <v>0</v>
      </c>
      <c r="X60" s="64">
        <f>IFERROR(V60/U60,0)</f>
        <v>0</v>
      </c>
      <c r="Y60" s="123">
        <f>E60+I60+M60+Q60+U60</f>
        <v>1</v>
      </c>
      <c r="Z60" s="46">
        <f>F60+J60+N60+R60+V60</f>
        <v>0</v>
      </c>
      <c r="AA60" s="46">
        <f>G60+K60+O60+S60+W60</f>
        <v>1</v>
      </c>
      <c r="AB60" s="47">
        <f>Z60/Y60</f>
        <v>0</v>
      </c>
    </row>
    <row r="61" spans="2:28" x14ac:dyDescent="0.35">
      <c r="B61" s="106">
        <v>48</v>
      </c>
      <c r="C61" s="11" t="s">
        <v>57</v>
      </c>
      <c r="D61" s="107" t="s">
        <v>134</v>
      </c>
      <c r="E61" s="95">
        <f>IFERROR((VLOOKUP(D61,'UCL SS'!$C$3:$D$31,2,FALSE)),0)</f>
        <v>1</v>
      </c>
      <c r="F61" s="43">
        <f>IFERROR(VLOOKUP(D61,'UCL SS'!$C$3:$E$31,3,FALSE),0)</f>
        <v>0</v>
      </c>
      <c r="G61" s="43">
        <f>IFERROR(VLOOKUP(D61,'UCL SS'!$C$3:$F$31,4,FALSE),0)</f>
        <v>1</v>
      </c>
      <c r="H61" s="64">
        <f>IFERROR(F61/E61,0)</f>
        <v>0</v>
      </c>
      <c r="I61" s="67">
        <f>IFERROR(VLOOKUP(D61,'UCL WS'!$C$3:$F$35,2,FALSE),0)</f>
        <v>0</v>
      </c>
      <c r="J61" s="44">
        <f>IFERROR(VLOOKUP(D61,'UCL WS'!$C$3:$F$35,3,FALSE),0)</f>
        <v>0</v>
      </c>
      <c r="K61" s="45">
        <f>IFERROR(VLOOKUP(D61,'UCL WS'!$C$3:$F$35,4,FALSE),0)</f>
        <v>0</v>
      </c>
      <c r="L61" s="83">
        <f>IFERROR(J61/I61,0)</f>
        <v>0</v>
      </c>
      <c r="M61" s="63">
        <f>IFERROR(VLOOKUP(D61,'UCL SS 2ed'!$C$3:$F$50,2,FALSE),0)</f>
        <v>0</v>
      </c>
      <c r="N61" s="43">
        <f>IFERROR(VLOOKUP(D61,'UCL SS 2ed'!$C$3:$F$50,3,FALSE),0)</f>
        <v>0</v>
      </c>
      <c r="O61" s="61">
        <f>IFERROR(VLOOKUP(D61,'UCL SS 2ed'!$C$3:$F$50,4,FALSE),0)</f>
        <v>0</v>
      </c>
      <c r="P61" s="87">
        <f>IFERROR(N61/M61,0)</f>
        <v>0</v>
      </c>
      <c r="Q61" s="89">
        <f>+_xlfn.XLOOKUP(D61,'UCL WS 2ed'!$C$3:$C$37,'UCL WS 2ed'!$D$3:$D$37,0,0)</f>
        <v>0</v>
      </c>
      <c r="R61" s="45">
        <f>+_xlfn.XLOOKUP(D61,'UCL WS 2ed'!$C$3:$C$37,'UCL WS 2ed'!$E$3:$E$37,0,0)</f>
        <v>0</v>
      </c>
      <c r="S61" s="45">
        <f>+_xlfn.XLOOKUP(D61,'UCL WS 2ed'!$C$3:$C$37,'UCL WS 2ed'!$F$3:$F$37,0)</f>
        <v>0</v>
      </c>
      <c r="T61" s="83">
        <f>IFERROR(R61/Q61,0)</f>
        <v>0</v>
      </c>
      <c r="U61" s="63">
        <f>IFERROR(VLOOKUP(D61,'UCL SS 3ed'!$C$3:$F$24,2,FALSE),0)</f>
        <v>0</v>
      </c>
      <c r="V61" s="43">
        <f>IFERROR(VLOOKUP(D61,'UCL SS 3ed'!$C$3:$F$24,3,FALSE),0)</f>
        <v>0</v>
      </c>
      <c r="W61" s="61">
        <f>IFERROR(VLOOKUP(D61,'UCL SS 3ed'!$C$3:$F$24,4,FALSE),0)</f>
        <v>0</v>
      </c>
      <c r="X61" s="64">
        <f>IFERROR(V61/U61,0)</f>
        <v>0</v>
      </c>
      <c r="Y61" s="123">
        <f>E61+I61+M61+Q61+U61</f>
        <v>1</v>
      </c>
      <c r="Z61" s="46">
        <f>F61+J61+N61+R61+V61</f>
        <v>0</v>
      </c>
      <c r="AA61" s="46">
        <f>G61+K61+O61+S61+W61</f>
        <v>1</v>
      </c>
      <c r="AB61" s="47">
        <f>Z61/Y61</f>
        <v>0</v>
      </c>
    </row>
    <row r="62" spans="2:28" x14ac:dyDescent="0.35">
      <c r="B62" s="106">
        <v>48</v>
      </c>
      <c r="C62" s="11" t="s">
        <v>136</v>
      </c>
      <c r="D62" s="107" t="s">
        <v>76</v>
      </c>
      <c r="E62" s="95">
        <f>IFERROR((VLOOKUP(D62,'UCL SS'!$C$3:$D$31,2,FALSE)),0)</f>
        <v>1</v>
      </c>
      <c r="F62" s="43">
        <f>IFERROR(VLOOKUP(D62,'UCL SS'!$C$3:$E$31,3,FALSE),0)</f>
        <v>0</v>
      </c>
      <c r="G62" s="43">
        <f>IFERROR(VLOOKUP(D62,'UCL SS'!$C$3:$F$31,4,FALSE),0)</f>
        <v>1</v>
      </c>
      <c r="H62" s="64">
        <f>IFERROR(F62/E62,0)</f>
        <v>0</v>
      </c>
      <c r="I62" s="67">
        <f>IFERROR(VLOOKUP(D62,'UCL WS'!$C$3:$F$35,2,FALSE),0)</f>
        <v>0</v>
      </c>
      <c r="J62" s="44">
        <f>IFERROR(VLOOKUP(D62,'UCL WS'!$C$3:$F$35,3,FALSE),0)</f>
        <v>0</v>
      </c>
      <c r="K62" s="45">
        <f>IFERROR(VLOOKUP(D62,'UCL WS'!$C$3:$F$35,4,FALSE),0)</f>
        <v>0</v>
      </c>
      <c r="L62" s="83">
        <f>IFERROR(J62/I62,0)</f>
        <v>0</v>
      </c>
      <c r="M62" s="63">
        <f>IFERROR(VLOOKUP(D62,'UCL SS 2ed'!$C$3:$F$50,2,FALSE),0)</f>
        <v>0</v>
      </c>
      <c r="N62" s="43">
        <f>IFERROR(VLOOKUP(D62,'UCL SS 2ed'!$C$3:$F$50,3,FALSE),0)</f>
        <v>0</v>
      </c>
      <c r="O62" s="61">
        <f>IFERROR(VLOOKUP(D62,'UCL SS 2ed'!$C$3:$F$50,4,FALSE),0)</f>
        <v>0</v>
      </c>
      <c r="P62" s="87">
        <f>IFERROR(N62/M62,0)</f>
        <v>0</v>
      </c>
      <c r="Q62" s="89">
        <f>+_xlfn.XLOOKUP(D62,'UCL WS 2ed'!$C$3:$C$37,'UCL WS 2ed'!$D$3:$D$37,0,0)</f>
        <v>0</v>
      </c>
      <c r="R62" s="45">
        <f>+_xlfn.XLOOKUP(D62,'UCL WS 2ed'!$C$3:$C$37,'UCL WS 2ed'!$E$3:$E$37,0,0)</f>
        <v>0</v>
      </c>
      <c r="S62" s="45">
        <f>+_xlfn.XLOOKUP(D62,'UCL WS 2ed'!$C$3:$C$37,'UCL WS 2ed'!$F$3:$F$37,0)</f>
        <v>0</v>
      </c>
      <c r="T62" s="83">
        <f>IFERROR(R62/Q62,0)</f>
        <v>0</v>
      </c>
      <c r="U62" s="63">
        <f>IFERROR(VLOOKUP(D62,'UCL SS 3ed'!$C$3:$F$24,2,FALSE),0)</f>
        <v>0</v>
      </c>
      <c r="V62" s="43">
        <f>IFERROR(VLOOKUP(D62,'UCL SS 3ed'!$C$3:$F$24,3,FALSE),0)</f>
        <v>0</v>
      </c>
      <c r="W62" s="61">
        <f>IFERROR(VLOOKUP(D62,'UCL SS 3ed'!$C$3:$F$24,4,FALSE),0)</f>
        <v>0</v>
      </c>
      <c r="X62" s="64">
        <f>IFERROR(V62/U62,0)</f>
        <v>0</v>
      </c>
      <c r="Y62" s="123">
        <f>E62+I62+M62+Q62+U62</f>
        <v>1</v>
      </c>
      <c r="Z62" s="46">
        <f>F62+J62+N62+R62+V62</f>
        <v>0</v>
      </c>
      <c r="AA62" s="46">
        <f>G62+K62+O62+S62+W62</f>
        <v>1</v>
      </c>
      <c r="AB62" s="47">
        <f>Z62/Y62</f>
        <v>0</v>
      </c>
    </row>
    <row r="63" spans="2:28" x14ac:dyDescent="0.35">
      <c r="B63" s="106">
        <v>48</v>
      </c>
      <c r="C63" s="11" t="s">
        <v>152</v>
      </c>
      <c r="D63" s="107" t="s">
        <v>153</v>
      </c>
      <c r="E63" s="95">
        <f>IFERROR((VLOOKUP(D63,'UCL SS'!$C$3:$D$31,2,FALSE)),0)</f>
        <v>0</v>
      </c>
      <c r="F63" s="43">
        <f>IFERROR(VLOOKUP(D63,'UCL SS'!$C$3:$E$31,3,FALSE),0)</f>
        <v>0</v>
      </c>
      <c r="G63" s="43">
        <f>IFERROR(VLOOKUP(D63,'UCL SS'!$C$3:$F$31,4,FALSE),0)</f>
        <v>0</v>
      </c>
      <c r="H63" s="64">
        <f>IFERROR(F63/E63,0)</f>
        <v>0</v>
      </c>
      <c r="I63" s="67">
        <f>IFERROR(VLOOKUP(D63,'UCL WS'!$C$3:$F$35,2,FALSE),0)</f>
        <v>1</v>
      </c>
      <c r="J63" s="44">
        <f>IFERROR(VLOOKUP(D63,'UCL WS'!$C$3:$F$35,3,FALSE),0)</f>
        <v>1</v>
      </c>
      <c r="K63" s="45">
        <f>IFERROR(VLOOKUP(D63,'UCL WS'!$C$3:$F$35,4,FALSE),0)</f>
        <v>0</v>
      </c>
      <c r="L63" s="83">
        <f>IFERROR(J63/I63,0)</f>
        <v>1</v>
      </c>
      <c r="M63" s="63">
        <f>IFERROR(VLOOKUP(D63,'UCL SS 2ed'!$C$3:$F$50,2,FALSE),0)</f>
        <v>0</v>
      </c>
      <c r="N63" s="43">
        <f>IFERROR(VLOOKUP(D63,'UCL SS 2ed'!$C$3:$F$50,3,FALSE),0)</f>
        <v>0</v>
      </c>
      <c r="O63" s="61">
        <f>IFERROR(VLOOKUP(D63,'UCL SS 2ed'!$C$3:$F$50,4,FALSE),0)</f>
        <v>0</v>
      </c>
      <c r="P63" s="87">
        <f>IFERROR(N63/M63,0)</f>
        <v>0</v>
      </c>
      <c r="Q63" s="89">
        <f>+_xlfn.XLOOKUP(D63,'UCL WS 2ed'!$C$3:$C$37,'UCL WS 2ed'!$D$3:$D$37,0,0)</f>
        <v>0</v>
      </c>
      <c r="R63" s="45">
        <f>+_xlfn.XLOOKUP(D63,'UCL WS 2ed'!$C$3:$C$37,'UCL WS 2ed'!$E$3:$E$37,0,0)</f>
        <v>0</v>
      </c>
      <c r="S63" s="45">
        <f>+_xlfn.XLOOKUP(D63,'UCL WS 2ed'!$C$3:$C$37,'UCL WS 2ed'!$F$3:$F$37,0)</f>
        <v>0</v>
      </c>
      <c r="T63" s="83">
        <f>IFERROR(R63/Q63,0)</f>
        <v>0</v>
      </c>
      <c r="U63" s="63">
        <f>IFERROR(VLOOKUP(D63,'UCL SS 3ed'!$C$3:$F$24,2,FALSE),0)</f>
        <v>0</v>
      </c>
      <c r="V63" s="43">
        <f>IFERROR(VLOOKUP(D63,'UCL SS 3ed'!$C$3:$F$24,3,FALSE),0)</f>
        <v>0</v>
      </c>
      <c r="W63" s="61">
        <f>IFERROR(VLOOKUP(D63,'UCL SS 3ed'!$C$3:$F$24,4,FALSE),0)</f>
        <v>0</v>
      </c>
      <c r="X63" s="64">
        <f>IFERROR(V63/U63,0)</f>
        <v>0</v>
      </c>
      <c r="Y63" s="123">
        <f>E63+I63+M63+Q63+U63</f>
        <v>1</v>
      </c>
      <c r="Z63" s="46">
        <f>F63+J63+N63+R63+V63</f>
        <v>1</v>
      </c>
      <c r="AA63" s="46">
        <f>G63+K63+O63+S63+W63</f>
        <v>0</v>
      </c>
      <c r="AB63" s="47">
        <f>Z63/Y63</f>
        <v>1</v>
      </c>
    </row>
    <row r="64" spans="2:28" x14ac:dyDescent="0.35">
      <c r="B64" s="106">
        <v>48</v>
      </c>
      <c r="C64" s="11" t="s">
        <v>164</v>
      </c>
      <c r="D64" s="107" t="s">
        <v>165</v>
      </c>
      <c r="E64" s="95">
        <f>IFERROR((VLOOKUP(D64,'UCL SS'!$C$3:$D$31,2,FALSE)),0)</f>
        <v>0</v>
      </c>
      <c r="F64" s="43">
        <f>IFERROR(VLOOKUP(D64,'UCL SS'!$C$3:$E$31,3,FALSE),0)</f>
        <v>0</v>
      </c>
      <c r="G64" s="43">
        <f>IFERROR(VLOOKUP(D64,'UCL SS'!$C$3:$F$31,4,FALSE),0)</f>
        <v>0</v>
      </c>
      <c r="H64" s="64">
        <f>IFERROR(F64/E64,0)</f>
        <v>0</v>
      </c>
      <c r="I64" s="67">
        <f>IFERROR(VLOOKUP(D64,'UCL WS'!$C$3:$F$35,2,FALSE),0)</f>
        <v>1</v>
      </c>
      <c r="J64" s="44">
        <f>IFERROR(VLOOKUP(D64,'UCL WS'!$C$3:$F$35,3,FALSE),0)</f>
        <v>0</v>
      </c>
      <c r="K64" s="45">
        <f>IFERROR(VLOOKUP(D64,'UCL WS'!$C$3:$F$35,4,FALSE),0)</f>
        <v>1</v>
      </c>
      <c r="L64" s="83">
        <f>IFERROR(J64/I64,0)</f>
        <v>0</v>
      </c>
      <c r="M64" s="63">
        <f>IFERROR(VLOOKUP(D64,'UCL SS 2ed'!$C$3:$F$50,2,FALSE),0)</f>
        <v>0</v>
      </c>
      <c r="N64" s="43">
        <f>IFERROR(VLOOKUP(D64,'UCL SS 2ed'!$C$3:$F$50,3,FALSE),0)</f>
        <v>0</v>
      </c>
      <c r="O64" s="61">
        <f>IFERROR(VLOOKUP(D64,'UCL SS 2ed'!$C$3:$F$50,4,FALSE),0)</f>
        <v>0</v>
      </c>
      <c r="P64" s="87">
        <f>IFERROR(N64/M64,0)</f>
        <v>0</v>
      </c>
      <c r="Q64" s="89">
        <f>+_xlfn.XLOOKUP(D64,'UCL WS 2ed'!$C$3:$C$37,'UCL WS 2ed'!$D$3:$D$37,0,0)</f>
        <v>0</v>
      </c>
      <c r="R64" s="45">
        <f>+_xlfn.XLOOKUP(D64,'UCL WS 2ed'!$C$3:$C$37,'UCL WS 2ed'!$E$3:$E$37,0,0)</f>
        <v>0</v>
      </c>
      <c r="S64" s="45">
        <f>+_xlfn.XLOOKUP(D64,'UCL WS 2ed'!$C$3:$C$37,'UCL WS 2ed'!$F$3:$F$37,0)</f>
        <v>0</v>
      </c>
      <c r="T64" s="83">
        <f>IFERROR(R64/Q64,0)</f>
        <v>0</v>
      </c>
      <c r="U64" s="63">
        <f>IFERROR(VLOOKUP(D64,'UCL SS 3ed'!$C$3:$F$24,2,FALSE),0)</f>
        <v>0</v>
      </c>
      <c r="V64" s="43">
        <f>IFERROR(VLOOKUP(D64,'UCL SS 3ed'!$C$3:$F$24,3,FALSE),0)</f>
        <v>0</v>
      </c>
      <c r="W64" s="61">
        <f>IFERROR(VLOOKUP(D64,'UCL SS 3ed'!$C$3:$F$24,4,FALSE),0)</f>
        <v>0</v>
      </c>
      <c r="X64" s="64">
        <f>IFERROR(V64/U64,0)</f>
        <v>0</v>
      </c>
      <c r="Y64" s="123">
        <f>E64+I64+M64+Q64+U64</f>
        <v>1</v>
      </c>
      <c r="Z64" s="46">
        <f>F64+J64+N64+R64+V64</f>
        <v>0</v>
      </c>
      <c r="AA64" s="46">
        <f>G64+K64+O64+S64+W64</f>
        <v>1</v>
      </c>
      <c r="AB64" s="47">
        <f>Z64/Y64</f>
        <v>0</v>
      </c>
    </row>
    <row r="65" spans="2:29" x14ac:dyDescent="0.35">
      <c r="B65" s="106">
        <v>48</v>
      </c>
      <c r="C65" s="11" t="s">
        <v>162</v>
      </c>
      <c r="D65" s="107" t="s">
        <v>163</v>
      </c>
      <c r="E65" s="95">
        <f>IFERROR((VLOOKUP(D65,'UCL SS'!$C$3:$D$31,2,FALSE)),0)</f>
        <v>0</v>
      </c>
      <c r="F65" s="43">
        <f>IFERROR(VLOOKUP(D65,'UCL SS'!$C$3:$E$31,3,FALSE),0)</f>
        <v>0</v>
      </c>
      <c r="G65" s="43">
        <f>IFERROR(VLOOKUP(D65,'UCL SS'!$C$3:$F$31,4,FALSE),0)</f>
        <v>0</v>
      </c>
      <c r="H65" s="64">
        <f>IFERROR(F65/E65,0)</f>
        <v>0</v>
      </c>
      <c r="I65" s="67">
        <f>IFERROR(VLOOKUP(D65,'UCL WS'!$C$3:$F$35,2,FALSE),0)</f>
        <v>1</v>
      </c>
      <c r="J65" s="44">
        <f>IFERROR(VLOOKUP(D65,'UCL WS'!$C$3:$F$35,3,FALSE),0)</f>
        <v>0</v>
      </c>
      <c r="K65" s="45">
        <f>IFERROR(VLOOKUP(D65,'UCL WS'!$C$3:$F$35,4,FALSE),0)</f>
        <v>1</v>
      </c>
      <c r="L65" s="83">
        <f>IFERROR(J65/I65,0)</f>
        <v>0</v>
      </c>
      <c r="M65" s="63">
        <f>IFERROR(VLOOKUP(D65,'UCL SS 2ed'!$C$3:$F$50,2,FALSE),0)</f>
        <v>0</v>
      </c>
      <c r="N65" s="43">
        <f>IFERROR(VLOOKUP(D65,'UCL SS 2ed'!$C$3:$F$50,3,FALSE),0)</f>
        <v>0</v>
      </c>
      <c r="O65" s="61">
        <f>IFERROR(VLOOKUP(D65,'UCL SS 2ed'!$C$3:$F$50,4,FALSE),0)</f>
        <v>0</v>
      </c>
      <c r="P65" s="87">
        <f>IFERROR(N65/M65,0)</f>
        <v>0</v>
      </c>
      <c r="Q65" s="89">
        <f>+_xlfn.XLOOKUP(D65,'UCL WS 2ed'!$C$3:$C$37,'UCL WS 2ed'!$D$3:$D$37,0,0)</f>
        <v>0</v>
      </c>
      <c r="R65" s="45">
        <f>+_xlfn.XLOOKUP(D65,'UCL WS 2ed'!$C$3:$C$37,'UCL WS 2ed'!$E$3:$E$37,0,0)</f>
        <v>0</v>
      </c>
      <c r="S65" s="45">
        <f>+_xlfn.XLOOKUP(D65,'UCL WS 2ed'!$C$3:$C$37,'UCL WS 2ed'!$F$3:$F$37,0)</f>
        <v>0</v>
      </c>
      <c r="T65" s="83">
        <f>IFERROR(R65/Q65,0)</f>
        <v>0</v>
      </c>
      <c r="U65" s="63">
        <f>IFERROR(VLOOKUP(D65,'UCL SS 3ed'!$C$3:$F$24,2,FALSE),0)</f>
        <v>0</v>
      </c>
      <c r="V65" s="43">
        <f>IFERROR(VLOOKUP(D65,'UCL SS 3ed'!$C$3:$F$24,3,FALSE),0)</f>
        <v>0</v>
      </c>
      <c r="W65" s="61">
        <f>IFERROR(VLOOKUP(D65,'UCL SS 3ed'!$C$3:$F$24,4,FALSE),0)</f>
        <v>0</v>
      </c>
      <c r="X65" s="64">
        <f>IFERROR(V65/U65,0)</f>
        <v>0</v>
      </c>
      <c r="Y65" s="123">
        <f>E65+I65+M65+Q65+U65</f>
        <v>1</v>
      </c>
      <c r="Z65" s="46">
        <f>F65+J65+N65+R65+V65</f>
        <v>0</v>
      </c>
      <c r="AA65" s="46">
        <f>G65+K65+O65+S65+W65</f>
        <v>1</v>
      </c>
      <c r="AB65" s="47">
        <f>Z65/Y65</f>
        <v>0</v>
      </c>
    </row>
    <row r="66" spans="2:29" x14ac:dyDescent="0.35">
      <c r="B66" s="106">
        <v>48</v>
      </c>
      <c r="C66" s="11" t="s">
        <v>175</v>
      </c>
      <c r="D66" s="107" t="s">
        <v>125</v>
      </c>
      <c r="E66" s="95">
        <f>IFERROR((VLOOKUP(D66,'UCL SS'!$C$3:$D$31,2,FALSE)),0)</f>
        <v>0</v>
      </c>
      <c r="F66" s="43">
        <f>IFERROR(VLOOKUP(D66,'UCL SS'!$C$3:$E$31,3,FALSE),0)</f>
        <v>0</v>
      </c>
      <c r="G66" s="43">
        <f>IFERROR(VLOOKUP(D66,'UCL SS'!$C$3:$F$31,4,FALSE),0)</f>
        <v>0</v>
      </c>
      <c r="H66" s="64">
        <f>IFERROR(F66/E66,0)</f>
        <v>0</v>
      </c>
      <c r="I66" s="67">
        <f>IFERROR(VLOOKUP(D66,'UCL WS'!$C$3:$F$35,2,FALSE),0)</f>
        <v>0</v>
      </c>
      <c r="J66" s="44">
        <f>IFERROR(VLOOKUP(D66,'UCL WS'!$C$3:$F$35,3,FALSE),0)</f>
        <v>0</v>
      </c>
      <c r="K66" s="45">
        <f>IFERROR(VLOOKUP(D66,'UCL WS'!$C$3:$F$35,4,FALSE),0)</f>
        <v>0</v>
      </c>
      <c r="L66" s="83">
        <f>IFERROR(J66/I66,0)</f>
        <v>0</v>
      </c>
      <c r="M66" s="63">
        <f>IFERROR(VLOOKUP(D66,'UCL SS 2ed'!$C$3:$F$50,2,FALSE),0)</f>
        <v>1</v>
      </c>
      <c r="N66" s="43">
        <f>IFERROR(VLOOKUP(D66,'UCL SS 2ed'!$C$3:$F$50,3,FALSE),0)</f>
        <v>1</v>
      </c>
      <c r="O66" s="61">
        <f>IFERROR(VLOOKUP(D66,'UCL SS 2ed'!$C$3:$F$50,4,FALSE),0)</f>
        <v>0</v>
      </c>
      <c r="P66" s="87">
        <f>IFERROR(N66/M66,0)</f>
        <v>1</v>
      </c>
      <c r="Q66" s="89">
        <f>+_xlfn.XLOOKUP(D66,'UCL WS 2ed'!$C$3:$C$37,'UCL WS 2ed'!$D$3:$D$37,0,0)</f>
        <v>0</v>
      </c>
      <c r="R66" s="45">
        <f>+_xlfn.XLOOKUP(D66,'UCL WS 2ed'!$C$3:$C$37,'UCL WS 2ed'!$E$3:$E$37,0,0)</f>
        <v>0</v>
      </c>
      <c r="S66" s="45">
        <f>+_xlfn.XLOOKUP(D66,'UCL WS 2ed'!$C$3:$C$37,'UCL WS 2ed'!$F$3:$F$37,0)</f>
        <v>0</v>
      </c>
      <c r="T66" s="83">
        <f>IFERROR(R66/Q66,0)</f>
        <v>0</v>
      </c>
      <c r="U66" s="63">
        <f>IFERROR(VLOOKUP(D66,'UCL SS 3ed'!$C$3:$F$24,2,FALSE),0)</f>
        <v>0</v>
      </c>
      <c r="V66" s="43">
        <f>IFERROR(VLOOKUP(D66,'UCL SS 3ed'!$C$3:$F$24,3,FALSE),0)</f>
        <v>0</v>
      </c>
      <c r="W66" s="61">
        <f>IFERROR(VLOOKUP(D66,'UCL SS 3ed'!$C$3:$F$24,4,FALSE),0)</f>
        <v>0</v>
      </c>
      <c r="X66" s="64">
        <f>IFERROR(V66/U66,0)</f>
        <v>0</v>
      </c>
      <c r="Y66" s="123">
        <f>E66+I66+M66+Q66+U66</f>
        <v>1</v>
      </c>
      <c r="Z66" s="46">
        <f>F66+J66+N66+R66+V66</f>
        <v>1</v>
      </c>
      <c r="AA66" s="46">
        <f>G66+K66+O66+S66+W66</f>
        <v>0</v>
      </c>
      <c r="AB66" s="47">
        <f>Z66/Y66</f>
        <v>1</v>
      </c>
    </row>
    <row r="67" spans="2:29" x14ac:dyDescent="0.35">
      <c r="B67" s="106">
        <v>48</v>
      </c>
      <c r="C67" s="11" t="s">
        <v>182</v>
      </c>
      <c r="D67" s="107" t="s">
        <v>183</v>
      </c>
      <c r="E67" s="95">
        <f>IFERROR((VLOOKUP(D67,'UCL SS'!$C$3:$D$31,2,FALSE)),0)</f>
        <v>0</v>
      </c>
      <c r="F67" s="43">
        <f>IFERROR(VLOOKUP(D67,'UCL SS'!$C$3:$E$31,3,FALSE),0)</f>
        <v>0</v>
      </c>
      <c r="G67" s="43">
        <f>IFERROR(VLOOKUP(D67,'UCL SS'!$C$3:$F$31,4,FALSE),0)</f>
        <v>0</v>
      </c>
      <c r="H67" s="64">
        <f>IFERROR(F67/E67,0)</f>
        <v>0</v>
      </c>
      <c r="I67" s="67">
        <f>IFERROR(VLOOKUP(D67,'UCL WS'!$C$3:$F$35,2,FALSE),0)</f>
        <v>0</v>
      </c>
      <c r="J67" s="44">
        <f>IFERROR(VLOOKUP(D67,'UCL WS'!$C$3:$F$35,3,FALSE),0)</f>
        <v>0</v>
      </c>
      <c r="K67" s="45">
        <f>IFERROR(VLOOKUP(D67,'UCL WS'!$C$3:$F$35,4,FALSE),0)</f>
        <v>0</v>
      </c>
      <c r="L67" s="83">
        <f>IFERROR(J67/I67,0)</f>
        <v>0</v>
      </c>
      <c r="M67" s="63">
        <f>IFERROR(VLOOKUP(D67,'UCL SS 2ed'!$C$3:$F$50,2,FALSE),0)</f>
        <v>1</v>
      </c>
      <c r="N67" s="43">
        <f>IFERROR(VLOOKUP(D67,'UCL SS 2ed'!$C$3:$F$50,3,FALSE),0)</f>
        <v>0</v>
      </c>
      <c r="O67" s="61">
        <f>IFERROR(VLOOKUP(D67,'UCL SS 2ed'!$C$3:$F$50,4,FALSE),0)</f>
        <v>1</v>
      </c>
      <c r="P67" s="87">
        <f>IFERROR(N67/M67,0)</f>
        <v>0</v>
      </c>
      <c r="Q67" s="89">
        <f>+_xlfn.XLOOKUP(D67,'UCL WS 2ed'!$C$3:$C$37,'UCL WS 2ed'!$D$3:$D$37,0,0)</f>
        <v>0</v>
      </c>
      <c r="R67" s="45">
        <f>+_xlfn.XLOOKUP(D67,'UCL WS 2ed'!$C$3:$C$37,'UCL WS 2ed'!$E$3:$E$37,0,0)</f>
        <v>0</v>
      </c>
      <c r="S67" s="45">
        <f>+_xlfn.XLOOKUP(D67,'UCL WS 2ed'!$C$3:$C$37,'UCL WS 2ed'!$F$3:$F$37,0)</f>
        <v>0</v>
      </c>
      <c r="T67" s="83">
        <f>IFERROR(R67/Q67,0)</f>
        <v>0</v>
      </c>
      <c r="U67" s="63">
        <f>IFERROR(VLOOKUP(D67,'UCL SS 3ed'!$C$3:$F$24,2,FALSE),0)</f>
        <v>0</v>
      </c>
      <c r="V67" s="43">
        <f>IFERROR(VLOOKUP(D67,'UCL SS 3ed'!$C$3:$F$24,3,FALSE),0)</f>
        <v>0</v>
      </c>
      <c r="W67" s="61">
        <f>IFERROR(VLOOKUP(D67,'UCL SS 3ed'!$C$3:$F$24,4,FALSE),0)</f>
        <v>0</v>
      </c>
      <c r="X67" s="64">
        <f>IFERROR(V67/U67,0)</f>
        <v>0</v>
      </c>
      <c r="Y67" s="123">
        <f>E67+I67+M67+Q67+U67</f>
        <v>1</v>
      </c>
      <c r="Z67" s="46">
        <f>F67+J67+N67+R67+V67</f>
        <v>0</v>
      </c>
      <c r="AA67" s="46">
        <f>G67+K67+O67+S67+W67</f>
        <v>1</v>
      </c>
      <c r="AB67" s="47">
        <f>Z67/Y67</f>
        <v>0</v>
      </c>
    </row>
    <row r="68" spans="2:29" x14ac:dyDescent="0.35">
      <c r="B68" s="106">
        <v>48</v>
      </c>
      <c r="C68" s="11" t="s">
        <v>185</v>
      </c>
      <c r="D68" s="107" t="s">
        <v>186</v>
      </c>
      <c r="E68" s="95">
        <f>IFERROR((VLOOKUP(D68,'UCL SS'!$C$3:$D$31,2,FALSE)),0)</f>
        <v>0</v>
      </c>
      <c r="F68" s="43">
        <f>IFERROR(VLOOKUP(D68,'UCL SS'!$C$3:$E$31,3,FALSE),0)</f>
        <v>0</v>
      </c>
      <c r="G68" s="43">
        <f>IFERROR(VLOOKUP(D68,'UCL SS'!$C$3:$F$31,4,FALSE),0)</f>
        <v>0</v>
      </c>
      <c r="H68" s="64">
        <f>IFERROR(F68/E68,0)</f>
        <v>0</v>
      </c>
      <c r="I68" s="67">
        <f>IFERROR(VLOOKUP(D68,'UCL WS'!$C$3:$F$35,2,FALSE),0)</f>
        <v>0</v>
      </c>
      <c r="J68" s="44">
        <f>IFERROR(VLOOKUP(D68,'UCL WS'!$C$3:$F$35,3,FALSE),0)</f>
        <v>0</v>
      </c>
      <c r="K68" s="45">
        <f>IFERROR(VLOOKUP(D68,'UCL WS'!$C$3:$F$35,4,FALSE),0)</f>
        <v>0</v>
      </c>
      <c r="L68" s="83">
        <f>IFERROR(J68/I68,0)</f>
        <v>0</v>
      </c>
      <c r="M68" s="63">
        <f>IFERROR(VLOOKUP(D68,'UCL SS 2ed'!$C$3:$F$50,2,FALSE),0)</f>
        <v>1</v>
      </c>
      <c r="N68" s="43">
        <f>IFERROR(VLOOKUP(D68,'UCL SS 2ed'!$C$3:$F$50,3,FALSE),0)</f>
        <v>1</v>
      </c>
      <c r="O68" s="61">
        <f>IFERROR(VLOOKUP(D68,'UCL SS 2ed'!$C$3:$F$50,4,FALSE),0)</f>
        <v>0</v>
      </c>
      <c r="P68" s="87">
        <f>IFERROR(N68/M68,0)</f>
        <v>1</v>
      </c>
      <c r="Q68" s="89">
        <f>+_xlfn.XLOOKUP(D68,'UCL WS 2ed'!$C$3:$C$37,'UCL WS 2ed'!$D$3:$D$37,0,0)</f>
        <v>0</v>
      </c>
      <c r="R68" s="45">
        <f>+_xlfn.XLOOKUP(D68,'UCL WS 2ed'!$C$3:$C$37,'UCL WS 2ed'!$E$3:$E$37,0,0)</f>
        <v>0</v>
      </c>
      <c r="S68" s="45">
        <f>+_xlfn.XLOOKUP(D68,'UCL WS 2ed'!$C$3:$C$37,'UCL WS 2ed'!$F$3:$F$37,0)</f>
        <v>0</v>
      </c>
      <c r="T68" s="83">
        <f>IFERROR(R68/Q68,0)</f>
        <v>0</v>
      </c>
      <c r="U68" s="63">
        <f>IFERROR(VLOOKUP(D68,'UCL SS 3ed'!$C$3:$F$24,2,FALSE),0)</f>
        <v>0</v>
      </c>
      <c r="V68" s="43">
        <f>IFERROR(VLOOKUP(D68,'UCL SS 3ed'!$C$3:$F$24,3,FALSE),0)</f>
        <v>0</v>
      </c>
      <c r="W68" s="61">
        <f>IFERROR(VLOOKUP(D68,'UCL SS 3ed'!$C$3:$F$24,4,FALSE),0)</f>
        <v>0</v>
      </c>
      <c r="X68" s="64">
        <f>IFERROR(V68/U68,0)</f>
        <v>0</v>
      </c>
      <c r="Y68" s="123">
        <f>E68+I68+M68+Q68+U68</f>
        <v>1</v>
      </c>
      <c r="Z68" s="46">
        <f>F68+J68+N68+R68+V68</f>
        <v>1</v>
      </c>
      <c r="AA68" s="46">
        <f>G68+K68+O68+S68+W68</f>
        <v>0</v>
      </c>
      <c r="AB68" s="47">
        <f>Z68/Y68</f>
        <v>1</v>
      </c>
    </row>
    <row r="69" spans="2:29" x14ac:dyDescent="0.35">
      <c r="B69" s="106">
        <v>48</v>
      </c>
      <c r="C69" s="11" t="s">
        <v>188</v>
      </c>
      <c r="D69" s="107" t="s">
        <v>189</v>
      </c>
      <c r="E69" s="95">
        <f>IFERROR((VLOOKUP(D69,'UCL SS'!$C$3:$D$31,2,FALSE)),0)</f>
        <v>0</v>
      </c>
      <c r="F69" s="43">
        <f>IFERROR(VLOOKUP(D69,'UCL SS'!$C$3:$E$31,3,FALSE),0)</f>
        <v>0</v>
      </c>
      <c r="G69" s="43">
        <f>IFERROR(VLOOKUP(D69,'UCL SS'!$C$3:$F$31,4,FALSE),0)</f>
        <v>0</v>
      </c>
      <c r="H69" s="64">
        <f>IFERROR(F69/E69,0)</f>
        <v>0</v>
      </c>
      <c r="I69" s="67">
        <f>IFERROR(VLOOKUP(D69,'UCL WS'!$C$3:$F$35,2,FALSE),0)</f>
        <v>0</v>
      </c>
      <c r="J69" s="44">
        <f>IFERROR(VLOOKUP(D69,'UCL WS'!$C$3:$F$35,3,FALSE),0)</f>
        <v>0</v>
      </c>
      <c r="K69" s="45">
        <f>IFERROR(VLOOKUP(D69,'UCL WS'!$C$3:$F$35,4,FALSE),0)</f>
        <v>0</v>
      </c>
      <c r="L69" s="83">
        <f>IFERROR(J69/I69,0)</f>
        <v>0</v>
      </c>
      <c r="M69" s="63">
        <f>IFERROR(VLOOKUP(D69,'UCL SS 2ed'!$C$3:$F$50,2,FALSE),0)</f>
        <v>1</v>
      </c>
      <c r="N69" s="43">
        <f>IFERROR(VLOOKUP(D69,'UCL SS 2ed'!$C$3:$F$50,3,FALSE),0)</f>
        <v>0</v>
      </c>
      <c r="O69" s="61">
        <f>IFERROR(VLOOKUP(D69,'UCL SS 2ed'!$C$3:$F$50,4,FALSE),0)</f>
        <v>1</v>
      </c>
      <c r="P69" s="87">
        <f>IFERROR(N69/M69,0)</f>
        <v>0</v>
      </c>
      <c r="Q69" s="89">
        <f>+_xlfn.XLOOKUP(D69,'UCL WS 2ed'!$C$3:$C$37,'UCL WS 2ed'!$D$3:$D$37,0,0)</f>
        <v>0</v>
      </c>
      <c r="R69" s="45">
        <f>+_xlfn.XLOOKUP(D69,'UCL WS 2ed'!$C$3:$C$37,'UCL WS 2ed'!$E$3:$E$37,0,0)</f>
        <v>0</v>
      </c>
      <c r="S69" s="45">
        <f>+_xlfn.XLOOKUP(D69,'UCL WS 2ed'!$C$3:$C$37,'UCL WS 2ed'!$F$3:$F$37,0)</f>
        <v>0</v>
      </c>
      <c r="T69" s="83">
        <f>IFERROR(R69/Q69,0)</f>
        <v>0</v>
      </c>
      <c r="U69" s="63">
        <f>IFERROR(VLOOKUP(D69,'UCL SS 3ed'!$C$3:$F$24,2,FALSE),0)</f>
        <v>0</v>
      </c>
      <c r="V69" s="43">
        <f>IFERROR(VLOOKUP(D69,'UCL SS 3ed'!$C$3:$F$24,3,FALSE),0)</f>
        <v>0</v>
      </c>
      <c r="W69" s="61">
        <f>IFERROR(VLOOKUP(D69,'UCL SS 3ed'!$C$3:$F$24,4,FALSE),0)</f>
        <v>0</v>
      </c>
      <c r="X69" s="64">
        <f>IFERROR(V69/U69,0)</f>
        <v>0</v>
      </c>
      <c r="Y69" s="123">
        <f>E69+I69+M69+Q69+U69</f>
        <v>1</v>
      </c>
      <c r="Z69" s="46">
        <f>F69+J69+N69+R69+V69</f>
        <v>0</v>
      </c>
      <c r="AA69" s="46">
        <f>G69+K69+O69+S69+W69</f>
        <v>1</v>
      </c>
      <c r="AB69" s="47">
        <f>Z69/Y69</f>
        <v>0</v>
      </c>
    </row>
    <row r="70" spans="2:29" x14ac:dyDescent="0.35">
      <c r="B70" s="106">
        <v>48</v>
      </c>
      <c r="C70" s="11" t="s">
        <v>192</v>
      </c>
      <c r="D70" s="107" t="s">
        <v>193</v>
      </c>
      <c r="E70" s="95">
        <f>IFERROR((VLOOKUP(D70,'UCL SS'!$C$3:$D$31,2,FALSE)),0)</f>
        <v>0</v>
      </c>
      <c r="F70" s="43">
        <f>IFERROR(VLOOKUP(D70,'UCL SS'!$C$3:$E$31,3,FALSE),0)</f>
        <v>0</v>
      </c>
      <c r="G70" s="43">
        <f>IFERROR(VLOOKUP(D70,'UCL SS'!$C$3:$F$31,4,FALSE),0)</f>
        <v>0</v>
      </c>
      <c r="H70" s="64">
        <f>IFERROR(F70/E70,0)</f>
        <v>0</v>
      </c>
      <c r="I70" s="67">
        <f>IFERROR(VLOOKUP(D70,'UCL WS'!$C$3:$F$35,2,FALSE),0)</f>
        <v>0</v>
      </c>
      <c r="J70" s="44">
        <f>IFERROR(VLOOKUP(D70,'UCL WS'!$C$3:$F$35,3,FALSE),0)</f>
        <v>0</v>
      </c>
      <c r="K70" s="45">
        <f>IFERROR(VLOOKUP(D70,'UCL WS'!$C$3:$F$35,4,FALSE),0)</f>
        <v>0</v>
      </c>
      <c r="L70" s="83">
        <f>IFERROR(J70/I70,0)</f>
        <v>0</v>
      </c>
      <c r="M70" s="63">
        <f>IFERROR(VLOOKUP(D70,'UCL SS 2ed'!$C$3:$F$50,2,FALSE),0)</f>
        <v>1</v>
      </c>
      <c r="N70" s="43">
        <f>IFERROR(VLOOKUP(D70,'UCL SS 2ed'!$C$3:$F$50,3,FALSE),0)</f>
        <v>1</v>
      </c>
      <c r="O70" s="61">
        <f>IFERROR(VLOOKUP(D70,'UCL SS 2ed'!$C$3:$F$50,4,FALSE),0)</f>
        <v>0</v>
      </c>
      <c r="P70" s="87">
        <f>IFERROR(N70/M70,0)</f>
        <v>1</v>
      </c>
      <c r="Q70" s="89">
        <f>+_xlfn.XLOOKUP(D70,'UCL WS 2ed'!$C$3:$C$37,'UCL WS 2ed'!$D$3:$D$37,0,0)</f>
        <v>0</v>
      </c>
      <c r="R70" s="45">
        <f>+_xlfn.XLOOKUP(D70,'UCL WS 2ed'!$C$3:$C$37,'UCL WS 2ed'!$E$3:$E$37,0,0)</f>
        <v>0</v>
      </c>
      <c r="S70" s="45">
        <f>+_xlfn.XLOOKUP(D70,'UCL WS 2ed'!$C$3:$C$37,'UCL WS 2ed'!$F$3:$F$37,0)</f>
        <v>0</v>
      </c>
      <c r="T70" s="83">
        <f>IFERROR(R70/Q70,0)</f>
        <v>0</v>
      </c>
      <c r="U70" s="63">
        <f>IFERROR(VLOOKUP(D70,'UCL SS 3ed'!$C$3:$F$24,2,FALSE),0)</f>
        <v>0</v>
      </c>
      <c r="V70" s="43">
        <f>IFERROR(VLOOKUP(D70,'UCL SS 3ed'!$C$3:$F$24,3,FALSE),0)</f>
        <v>0</v>
      </c>
      <c r="W70" s="61">
        <f>IFERROR(VLOOKUP(D70,'UCL SS 3ed'!$C$3:$F$24,4,FALSE),0)</f>
        <v>0</v>
      </c>
      <c r="X70" s="64">
        <f>IFERROR(V70/U70,0)</f>
        <v>0</v>
      </c>
      <c r="Y70" s="123">
        <f>E70+I70+M70+Q70+U70</f>
        <v>1</v>
      </c>
      <c r="Z70" s="46">
        <f>F70+J70+N70+R70+V70</f>
        <v>1</v>
      </c>
      <c r="AA70" s="46">
        <f>G70+K70+O70+S70+W70</f>
        <v>0</v>
      </c>
      <c r="AB70" s="47">
        <f>Z70/Y70</f>
        <v>1</v>
      </c>
    </row>
    <row r="71" spans="2:29" x14ac:dyDescent="0.35">
      <c r="B71" s="85">
        <v>48</v>
      </c>
      <c r="C71" s="4" t="s">
        <v>203</v>
      </c>
      <c r="D71" s="86" t="s">
        <v>204</v>
      </c>
      <c r="E71" s="95">
        <f>IFERROR((VLOOKUP(D71,'UCL SS'!$C$3:$D$31,2,FALSE)),0)</f>
        <v>0</v>
      </c>
      <c r="F71" s="43">
        <f>IFERROR(VLOOKUP(D71,'UCL SS'!$C$3:$E$31,3,FALSE),0)</f>
        <v>0</v>
      </c>
      <c r="G71" s="43">
        <f>IFERROR(VLOOKUP(D71,'UCL SS'!$C$3:$F$31,4,FALSE),0)</f>
        <v>0</v>
      </c>
      <c r="H71" s="64">
        <f>IFERROR(F71/E71,0)</f>
        <v>0</v>
      </c>
      <c r="I71" s="67">
        <f>IFERROR(VLOOKUP(D71,'UCL WS'!$C$3:$F$35,2,FALSE),0)</f>
        <v>0</v>
      </c>
      <c r="J71" s="44">
        <f>IFERROR(VLOOKUP(D71,'UCL WS'!$C$3:$F$35,3,FALSE),0)</f>
        <v>0</v>
      </c>
      <c r="K71" s="45">
        <f>IFERROR(VLOOKUP(D71,'UCL WS'!$C$3:$F$35,4,FALSE),0)</f>
        <v>0</v>
      </c>
      <c r="L71" s="83">
        <f>IFERROR(J71/I71,0)</f>
        <v>0</v>
      </c>
      <c r="M71" s="63">
        <f>IFERROR(VLOOKUP(D71,'UCL SS 2ed'!$C$3:$F$50,2,FALSE),0)</f>
        <v>1</v>
      </c>
      <c r="N71" s="43">
        <f>IFERROR(VLOOKUP(D71,'UCL SS 2ed'!$C$3:$F$50,3,FALSE),0)</f>
        <v>0</v>
      </c>
      <c r="O71" s="61">
        <f>IFERROR(VLOOKUP(D71,'UCL SS 2ed'!$C$3:$F$50,4,FALSE),0)</f>
        <v>1</v>
      </c>
      <c r="P71" s="87">
        <f>IFERROR(N71/M71,0)</f>
        <v>0</v>
      </c>
      <c r="Q71" s="89">
        <f>+_xlfn.XLOOKUP(D71,'UCL WS 2ed'!$C$3:$C$37,'UCL WS 2ed'!$D$3:$D$37,0,0)</f>
        <v>0</v>
      </c>
      <c r="R71" s="45">
        <f>+_xlfn.XLOOKUP(D71,'UCL WS 2ed'!$C$3:$C$37,'UCL WS 2ed'!$E$3:$E$37,0,0)</f>
        <v>0</v>
      </c>
      <c r="S71" s="45">
        <f>+_xlfn.XLOOKUP(D71,'UCL WS 2ed'!$C$3:$C$37,'UCL WS 2ed'!$F$3:$F$37,0)</f>
        <v>0</v>
      </c>
      <c r="T71" s="83">
        <f>IFERROR(R71/Q71,0)</f>
        <v>0</v>
      </c>
      <c r="U71" s="63">
        <f>IFERROR(VLOOKUP(D71,'UCL SS 3ed'!$C$3:$F$24,2,FALSE),0)</f>
        <v>0</v>
      </c>
      <c r="V71" s="43">
        <f>IFERROR(VLOOKUP(D71,'UCL SS 3ed'!$C$3:$F$24,3,FALSE),0)</f>
        <v>0</v>
      </c>
      <c r="W71" s="61">
        <f>IFERROR(VLOOKUP(D71,'UCL SS 3ed'!$C$3:$F$24,4,FALSE),0)</f>
        <v>0</v>
      </c>
      <c r="X71" s="64">
        <f>IFERROR(V71/U71,0)</f>
        <v>0</v>
      </c>
      <c r="Y71" s="123">
        <f>E71+I71+M71+Q71+U71</f>
        <v>1</v>
      </c>
      <c r="Z71" s="46">
        <f>F71+J71+N71+R71+V71</f>
        <v>0</v>
      </c>
      <c r="AA71" s="46">
        <f>G71+K71+O71+S71+W71</f>
        <v>1</v>
      </c>
      <c r="AB71" s="47">
        <f>Z71/Y71</f>
        <v>0</v>
      </c>
      <c r="AC71" t="s">
        <v>273</v>
      </c>
    </row>
    <row r="72" spans="2:29" x14ac:dyDescent="0.35">
      <c r="B72" s="106">
        <v>48</v>
      </c>
      <c r="C72" s="11" t="s">
        <v>212</v>
      </c>
      <c r="D72" s="107" t="s">
        <v>213</v>
      </c>
      <c r="E72" s="95">
        <f>IFERROR((VLOOKUP(D72,'UCL SS'!$C$3:$D$31,2,FALSE)),0)</f>
        <v>0</v>
      </c>
      <c r="F72" s="43">
        <f>IFERROR(VLOOKUP(D72,'UCL SS'!$C$3:$E$31,3,FALSE),0)</f>
        <v>0</v>
      </c>
      <c r="G72" s="43">
        <f>IFERROR(VLOOKUP(D72,'UCL SS'!$C$3:$F$31,4,FALSE),0)</f>
        <v>0</v>
      </c>
      <c r="H72" s="64">
        <f>IFERROR(F72/E72,0)</f>
        <v>0</v>
      </c>
      <c r="I72" s="67">
        <f>IFERROR(VLOOKUP(D72,'UCL WS'!$C$3:$F$35,2,FALSE),0)</f>
        <v>0</v>
      </c>
      <c r="J72" s="44">
        <f>IFERROR(VLOOKUP(D72,'UCL WS'!$C$3:$F$35,3,FALSE),0)</f>
        <v>0</v>
      </c>
      <c r="K72" s="45">
        <f>IFERROR(VLOOKUP(D72,'UCL WS'!$C$3:$F$35,4,FALSE),0)</f>
        <v>0</v>
      </c>
      <c r="L72" s="83">
        <f>IFERROR(J72/I72,0)</f>
        <v>0</v>
      </c>
      <c r="M72" s="63">
        <f>IFERROR(VLOOKUP(D72,'UCL SS 2ed'!$C$3:$F$50,2,FALSE),0)</f>
        <v>1</v>
      </c>
      <c r="N72" s="43">
        <f>IFERROR(VLOOKUP(D72,'UCL SS 2ed'!$C$3:$F$50,3,FALSE),0)</f>
        <v>1</v>
      </c>
      <c r="O72" s="61">
        <f>IFERROR(VLOOKUP(D72,'UCL SS 2ed'!$C$3:$F$50,4,FALSE),0)</f>
        <v>0</v>
      </c>
      <c r="P72" s="87">
        <f>IFERROR(N72/M72,0)</f>
        <v>1</v>
      </c>
      <c r="Q72" s="89">
        <f>+_xlfn.XLOOKUP(D72,'UCL WS 2ed'!$C$3:$C$37,'UCL WS 2ed'!$D$3:$D$37,0,0)</f>
        <v>0</v>
      </c>
      <c r="R72" s="45">
        <f>+_xlfn.XLOOKUP(D72,'UCL WS 2ed'!$C$3:$C$37,'UCL WS 2ed'!$E$3:$E$37,0,0)</f>
        <v>0</v>
      </c>
      <c r="S72" s="45">
        <f>+_xlfn.XLOOKUP(D72,'UCL WS 2ed'!$C$3:$C$37,'UCL WS 2ed'!$F$3:$F$37,0)</f>
        <v>0</v>
      </c>
      <c r="T72" s="83">
        <f>IFERROR(R72/Q72,0)</f>
        <v>0</v>
      </c>
      <c r="U72" s="63">
        <f>IFERROR(VLOOKUP(D72,'UCL SS 3ed'!$C$3:$F$24,2,FALSE),0)</f>
        <v>0</v>
      </c>
      <c r="V72" s="43">
        <f>IFERROR(VLOOKUP(D72,'UCL SS 3ed'!$C$3:$F$24,3,FALSE),0)</f>
        <v>0</v>
      </c>
      <c r="W72" s="61">
        <f>IFERROR(VLOOKUP(D72,'UCL SS 3ed'!$C$3:$F$24,4,FALSE),0)</f>
        <v>0</v>
      </c>
      <c r="X72" s="64">
        <f>IFERROR(V72/U72,0)</f>
        <v>0</v>
      </c>
      <c r="Y72" s="123">
        <f>E72+I72+M72+Q72+U72</f>
        <v>1</v>
      </c>
      <c r="Z72" s="46">
        <f>F72+J72+N72+R72+V72</f>
        <v>1</v>
      </c>
      <c r="AA72" s="46">
        <f>G72+K72+O72+S72+W72</f>
        <v>0</v>
      </c>
      <c r="AB72" s="47">
        <f>Z72/Y72</f>
        <v>1</v>
      </c>
    </row>
    <row r="73" spans="2:29" x14ac:dyDescent="0.35">
      <c r="B73" s="106">
        <v>48</v>
      </c>
      <c r="C73" s="11" t="s">
        <v>214</v>
      </c>
      <c r="D73" s="107" t="s">
        <v>215</v>
      </c>
      <c r="E73" s="95">
        <f>IFERROR((VLOOKUP(D73,'UCL SS'!$C$3:$D$31,2,FALSE)),0)</f>
        <v>0</v>
      </c>
      <c r="F73" s="43">
        <f>IFERROR(VLOOKUP(D73,'UCL SS'!$C$3:$E$31,3,FALSE),0)</f>
        <v>0</v>
      </c>
      <c r="G73" s="43">
        <f>IFERROR(VLOOKUP(D73,'UCL SS'!$C$3:$F$31,4,FALSE),0)</f>
        <v>0</v>
      </c>
      <c r="H73" s="64">
        <f>IFERROR(F73/E73,0)</f>
        <v>0</v>
      </c>
      <c r="I73" s="67">
        <f>IFERROR(VLOOKUP(D73,'UCL WS'!$C$3:$F$35,2,FALSE),0)</f>
        <v>0</v>
      </c>
      <c r="J73" s="44">
        <f>IFERROR(VLOOKUP(D73,'UCL WS'!$C$3:$F$35,3,FALSE),0)</f>
        <v>0</v>
      </c>
      <c r="K73" s="45">
        <f>IFERROR(VLOOKUP(D73,'UCL WS'!$C$3:$F$35,4,FALSE),0)</f>
        <v>0</v>
      </c>
      <c r="L73" s="83">
        <f>IFERROR(J73/I73,0)</f>
        <v>0</v>
      </c>
      <c r="M73" s="63">
        <f>IFERROR(VLOOKUP(D73,'UCL SS 2ed'!$C$3:$F$50,2,FALSE),0)</f>
        <v>1</v>
      </c>
      <c r="N73" s="43">
        <f>IFERROR(VLOOKUP(D73,'UCL SS 2ed'!$C$3:$F$50,3,FALSE),0)</f>
        <v>0</v>
      </c>
      <c r="O73" s="61">
        <f>IFERROR(VLOOKUP(D73,'UCL SS 2ed'!$C$3:$F$50,4,FALSE),0)</f>
        <v>1</v>
      </c>
      <c r="P73" s="87">
        <f>IFERROR(N73/M73,0)</f>
        <v>0</v>
      </c>
      <c r="Q73" s="89">
        <f>+_xlfn.XLOOKUP(D73,'UCL WS 2ed'!$C$3:$C$37,'UCL WS 2ed'!$D$3:$D$37,0,0)</f>
        <v>0</v>
      </c>
      <c r="R73" s="45">
        <f>+_xlfn.XLOOKUP(D73,'UCL WS 2ed'!$C$3:$C$37,'UCL WS 2ed'!$E$3:$E$37,0,0)</f>
        <v>0</v>
      </c>
      <c r="S73" s="45">
        <f>+_xlfn.XLOOKUP(D73,'UCL WS 2ed'!$C$3:$C$37,'UCL WS 2ed'!$F$3:$F$37,0)</f>
        <v>0</v>
      </c>
      <c r="T73" s="83">
        <f>IFERROR(R73/Q73,0)</f>
        <v>0</v>
      </c>
      <c r="U73" s="63">
        <f>IFERROR(VLOOKUP(D73,'UCL SS 3ed'!$C$3:$F$24,2,FALSE),0)</f>
        <v>0</v>
      </c>
      <c r="V73" s="43">
        <f>IFERROR(VLOOKUP(D73,'UCL SS 3ed'!$C$3:$F$24,3,FALSE),0)</f>
        <v>0</v>
      </c>
      <c r="W73" s="61">
        <f>IFERROR(VLOOKUP(D73,'UCL SS 3ed'!$C$3:$F$24,4,FALSE),0)</f>
        <v>0</v>
      </c>
      <c r="X73" s="64">
        <f>IFERROR(V73/U73,0)</f>
        <v>0</v>
      </c>
      <c r="Y73" s="123">
        <f>E73+I73+M73+Q73+U73</f>
        <v>1</v>
      </c>
      <c r="Z73" s="46">
        <f>F73+J73+N73+R73+V73</f>
        <v>0</v>
      </c>
      <c r="AA73" s="46">
        <f>G73+K73+O73+S73+W73</f>
        <v>1</v>
      </c>
      <c r="AB73" s="47">
        <f>Z73/Y73</f>
        <v>0</v>
      </c>
    </row>
    <row r="74" spans="2:29" x14ac:dyDescent="0.35">
      <c r="B74" s="85">
        <v>48</v>
      </c>
      <c r="C74" s="4" t="s">
        <v>205</v>
      </c>
      <c r="D74" s="86" t="s">
        <v>206</v>
      </c>
      <c r="E74" s="95">
        <f>IFERROR((VLOOKUP(D74,'UCL SS'!$C$3:$D$31,2,FALSE)),0)</f>
        <v>0</v>
      </c>
      <c r="F74" s="43">
        <f>IFERROR(VLOOKUP(D74,'UCL SS'!$C$3:$E$31,3,FALSE),0)</f>
        <v>0</v>
      </c>
      <c r="G74" s="43">
        <f>IFERROR(VLOOKUP(D74,'UCL SS'!$C$3:$F$31,4,FALSE),0)</f>
        <v>0</v>
      </c>
      <c r="H74" s="64">
        <f>IFERROR(F74/E74,0)</f>
        <v>0</v>
      </c>
      <c r="I74" s="67">
        <f>IFERROR(VLOOKUP(D74,'UCL WS'!$C$3:$F$35,2,FALSE),0)</f>
        <v>0</v>
      </c>
      <c r="J74" s="44">
        <f>IFERROR(VLOOKUP(D74,'UCL WS'!$C$3:$F$35,3,FALSE),0)</f>
        <v>0</v>
      </c>
      <c r="K74" s="45">
        <f>IFERROR(VLOOKUP(D74,'UCL WS'!$C$3:$F$35,4,FALSE),0)</f>
        <v>0</v>
      </c>
      <c r="L74" s="83">
        <f>IFERROR(J74/I74,0)</f>
        <v>0</v>
      </c>
      <c r="M74" s="63">
        <f>IFERROR(VLOOKUP(D74,'UCL SS 2ed'!$C$3:$F$50,2,FALSE),0)</f>
        <v>1</v>
      </c>
      <c r="N74" s="43">
        <f>IFERROR(VLOOKUP(D74,'UCL SS 2ed'!$C$3:$F$50,3,FALSE),0)</f>
        <v>0</v>
      </c>
      <c r="O74" s="61">
        <f>IFERROR(VLOOKUP(D74,'UCL SS 2ed'!$C$3:$F$50,4,FALSE),0)</f>
        <v>1</v>
      </c>
      <c r="P74" s="87">
        <f>IFERROR(N74/M74,0)</f>
        <v>0</v>
      </c>
      <c r="Q74" s="89">
        <f>+_xlfn.XLOOKUP(D74,'UCL WS 2ed'!$C$3:$C$37,'UCL WS 2ed'!$D$3:$D$37,0,0)</f>
        <v>0</v>
      </c>
      <c r="R74" s="45">
        <f>+_xlfn.XLOOKUP(D74,'UCL WS 2ed'!$C$3:$C$37,'UCL WS 2ed'!$E$3:$E$37,0,0)</f>
        <v>0</v>
      </c>
      <c r="S74" s="45">
        <f>+_xlfn.XLOOKUP(D74,'UCL WS 2ed'!$C$3:$C$37,'UCL WS 2ed'!$F$3:$F$37,0)</f>
        <v>0</v>
      </c>
      <c r="T74" s="83">
        <f>IFERROR(R74/Q74,0)</f>
        <v>0</v>
      </c>
      <c r="U74" s="63">
        <f>IFERROR(VLOOKUP(D74,'UCL SS 3ed'!$C$3:$F$24,2,FALSE),0)</f>
        <v>0</v>
      </c>
      <c r="V74" s="43">
        <f>IFERROR(VLOOKUP(D74,'UCL SS 3ed'!$C$3:$F$24,3,FALSE),0)</f>
        <v>0</v>
      </c>
      <c r="W74" s="61">
        <f>IFERROR(VLOOKUP(D74,'UCL SS 3ed'!$C$3:$F$24,4,FALSE),0)</f>
        <v>0</v>
      </c>
      <c r="X74" s="64">
        <f>IFERROR(V74/U74,0)</f>
        <v>0</v>
      </c>
      <c r="Y74" s="123">
        <f>E74+I74+M74+Q74+U74</f>
        <v>1</v>
      </c>
      <c r="Z74" s="46">
        <f>F74+J74+N74+R74+V74</f>
        <v>0</v>
      </c>
      <c r="AA74" s="46">
        <f>G74+K74+O74+S74+W74</f>
        <v>1</v>
      </c>
      <c r="AB74" s="47">
        <f>Z74/Y74</f>
        <v>0</v>
      </c>
      <c r="AC74" t="s">
        <v>274</v>
      </c>
    </row>
    <row r="75" spans="2:29" x14ac:dyDescent="0.35">
      <c r="B75" s="106">
        <v>48</v>
      </c>
      <c r="C75" s="11" t="s">
        <v>225</v>
      </c>
      <c r="D75" s="107" t="s">
        <v>226</v>
      </c>
      <c r="E75" s="95">
        <f>IFERROR((VLOOKUP(D75,'UCL SS'!$C$3:$D$31,2,FALSE)),0)</f>
        <v>0</v>
      </c>
      <c r="F75" s="43">
        <f>IFERROR(VLOOKUP(D75,'UCL SS'!$C$3:$E$31,3,FALSE),0)</f>
        <v>0</v>
      </c>
      <c r="G75" s="43">
        <f>IFERROR(VLOOKUP(D75,'UCL SS'!$C$3:$F$31,4,FALSE),0)</f>
        <v>0</v>
      </c>
      <c r="H75" s="64">
        <f>IFERROR(F75/E75,0)</f>
        <v>0</v>
      </c>
      <c r="I75" s="67">
        <f>IFERROR(VLOOKUP(D75,'UCL WS'!$C$3:$F$35,2,FALSE),0)</f>
        <v>0</v>
      </c>
      <c r="J75" s="44">
        <f>IFERROR(VLOOKUP(D75,'UCL WS'!$C$3:$F$35,3,FALSE),0)</f>
        <v>0</v>
      </c>
      <c r="K75" s="45">
        <f>IFERROR(VLOOKUP(D75,'UCL WS'!$C$3:$F$35,4,FALSE),0)</f>
        <v>0</v>
      </c>
      <c r="L75" s="83">
        <f>IFERROR(J75/I75,0)</f>
        <v>0</v>
      </c>
      <c r="M75" s="63">
        <f>IFERROR(VLOOKUP(D75,'UCL SS 2ed'!$C$3:$F$50,2,FALSE),0)</f>
        <v>1</v>
      </c>
      <c r="N75" s="43">
        <f>IFERROR(VLOOKUP(D75,'UCL SS 2ed'!$C$3:$F$50,3,FALSE),0)</f>
        <v>1</v>
      </c>
      <c r="O75" s="61">
        <f>IFERROR(VLOOKUP(D75,'UCL SS 2ed'!$C$3:$F$50,4,FALSE),0)</f>
        <v>0</v>
      </c>
      <c r="P75" s="87">
        <f>IFERROR(N75/M75,0)</f>
        <v>1</v>
      </c>
      <c r="Q75" s="89">
        <f>+_xlfn.XLOOKUP(D75,'UCL WS 2ed'!$C$3:$C$37,'UCL WS 2ed'!$D$3:$D$37,0,0)</f>
        <v>0</v>
      </c>
      <c r="R75" s="45">
        <f>+_xlfn.XLOOKUP(D75,'UCL WS 2ed'!$C$3:$C$37,'UCL WS 2ed'!$E$3:$E$37,0,0)</f>
        <v>0</v>
      </c>
      <c r="S75" s="45">
        <f>+_xlfn.XLOOKUP(D75,'UCL WS 2ed'!$C$3:$C$37,'UCL WS 2ed'!$F$3:$F$37,0)</f>
        <v>0</v>
      </c>
      <c r="T75" s="83">
        <f>IFERROR(R75/Q75,0)</f>
        <v>0</v>
      </c>
      <c r="U75" s="63">
        <f>IFERROR(VLOOKUP(D75,'UCL SS 3ed'!$C$3:$F$24,2,FALSE),0)</f>
        <v>0</v>
      </c>
      <c r="V75" s="43">
        <f>IFERROR(VLOOKUP(D75,'UCL SS 3ed'!$C$3:$F$24,3,FALSE),0)</f>
        <v>0</v>
      </c>
      <c r="W75" s="61">
        <f>IFERROR(VLOOKUP(D75,'UCL SS 3ed'!$C$3:$F$24,4,FALSE),0)</f>
        <v>0</v>
      </c>
      <c r="X75" s="64">
        <f>IFERROR(V75/U75,0)</f>
        <v>0</v>
      </c>
      <c r="Y75" s="123">
        <f>E75+I75+M75+Q75+U75</f>
        <v>1</v>
      </c>
      <c r="Z75" s="46">
        <f>F75+J75+N75+R75+V75</f>
        <v>1</v>
      </c>
      <c r="AA75" s="46">
        <f>G75+K75+O75+S75+W75</f>
        <v>0</v>
      </c>
      <c r="AB75" s="47">
        <f>Z75/Y75</f>
        <v>1</v>
      </c>
    </row>
    <row r="76" spans="2:29" x14ac:dyDescent="0.35">
      <c r="B76" s="106">
        <v>48</v>
      </c>
      <c r="C76" s="11" t="s">
        <v>222</v>
      </c>
      <c r="D76" s="107" t="s">
        <v>223</v>
      </c>
      <c r="E76" s="95">
        <f>IFERROR((VLOOKUP(D76,'UCL SS'!$C$3:$D$31,2,FALSE)),0)</f>
        <v>0</v>
      </c>
      <c r="F76" s="43">
        <f>IFERROR(VLOOKUP(D76,'UCL SS'!$C$3:$E$31,3,FALSE),0)</f>
        <v>0</v>
      </c>
      <c r="G76" s="43">
        <f>IFERROR(VLOOKUP(D76,'UCL SS'!$C$3:$F$31,4,FALSE),0)</f>
        <v>0</v>
      </c>
      <c r="H76" s="64">
        <f>IFERROR(F76/E76,0)</f>
        <v>0</v>
      </c>
      <c r="I76" s="67">
        <f>IFERROR(VLOOKUP(D76,'UCL WS'!$C$3:$F$35,2,FALSE),0)</f>
        <v>0</v>
      </c>
      <c r="J76" s="44">
        <f>IFERROR(VLOOKUP(D76,'UCL WS'!$C$3:$F$35,3,FALSE),0)</f>
        <v>0</v>
      </c>
      <c r="K76" s="45">
        <f>IFERROR(VLOOKUP(D76,'UCL WS'!$C$3:$F$35,4,FALSE),0)</f>
        <v>0</v>
      </c>
      <c r="L76" s="83">
        <f>IFERROR(J76/I76,0)</f>
        <v>0</v>
      </c>
      <c r="M76" s="63">
        <f>IFERROR(VLOOKUP(D76,'UCL SS 2ed'!$C$3:$F$50,2,FALSE),0)</f>
        <v>1</v>
      </c>
      <c r="N76" s="43">
        <f>IFERROR(VLOOKUP(D76,'UCL SS 2ed'!$C$3:$F$50,3,FALSE),0)</f>
        <v>0</v>
      </c>
      <c r="O76" s="61">
        <f>IFERROR(VLOOKUP(D76,'UCL SS 2ed'!$C$3:$F$50,4,FALSE),0)</f>
        <v>1</v>
      </c>
      <c r="P76" s="87">
        <f>IFERROR(N76/M76,0)</f>
        <v>0</v>
      </c>
      <c r="Q76" s="89">
        <f>+_xlfn.XLOOKUP(D76,'UCL WS 2ed'!$C$3:$C$37,'UCL WS 2ed'!$D$3:$D$37,0,0)</f>
        <v>0</v>
      </c>
      <c r="R76" s="45">
        <f>+_xlfn.XLOOKUP(D76,'UCL WS 2ed'!$C$3:$C$37,'UCL WS 2ed'!$E$3:$E$37,0,0)</f>
        <v>0</v>
      </c>
      <c r="S76" s="45">
        <f>+_xlfn.XLOOKUP(D76,'UCL WS 2ed'!$C$3:$C$37,'UCL WS 2ed'!$F$3:$F$37,0)</f>
        <v>0</v>
      </c>
      <c r="T76" s="83">
        <f>IFERROR(R76/Q76,0)</f>
        <v>0</v>
      </c>
      <c r="U76" s="63">
        <f>IFERROR(VLOOKUP(D76,'UCL SS 3ed'!$C$3:$F$24,2,FALSE),0)</f>
        <v>0</v>
      </c>
      <c r="V76" s="43">
        <f>IFERROR(VLOOKUP(D76,'UCL SS 3ed'!$C$3:$F$24,3,FALSE),0)</f>
        <v>0</v>
      </c>
      <c r="W76" s="61">
        <f>IFERROR(VLOOKUP(D76,'UCL SS 3ed'!$C$3:$F$24,4,FALSE),0)</f>
        <v>0</v>
      </c>
      <c r="X76" s="64">
        <f>IFERROR(V76/U76,0)</f>
        <v>0</v>
      </c>
      <c r="Y76" s="123">
        <f>E76+I76+M76+Q76+U76</f>
        <v>1</v>
      </c>
      <c r="Z76" s="46">
        <f>F76+J76+N76+R76+V76</f>
        <v>0</v>
      </c>
      <c r="AA76" s="46">
        <f>G76+K76+O76+S76+W76</f>
        <v>1</v>
      </c>
      <c r="AB76" s="47">
        <f>Z76/Y76</f>
        <v>0</v>
      </c>
    </row>
    <row r="77" spans="2:29" x14ac:dyDescent="0.35">
      <c r="B77" s="125">
        <v>48</v>
      </c>
      <c r="C77" s="126" t="s">
        <v>277</v>
      </c>
      <c r="D77" s="127" t="s">
        <v>278</v>
      </c>
      <c r="E77" s="95">
        <f>IFERROR((VLOOKUP(D77,'UCL SS'!$C$3:$D$31,2,FALSE)),0)</f>
        <v>0</v>
      </c>
      <c r="F77" s="43">
        <f>IFERROR(VLOOKUP(D77,'UCL SS'!$C$3:$E$31,3,FALSE),0)</f>
        <v>0</v>
      </c>
      <c r="G77" s="43">
        <f>IFERROR(VLOOKUP(D77,'UCL SS'!$C$3:$F$31,4,FALSE),0)</f>
        <v>0</v>
      </c>
      <c r="H77" s="64">
        <f>IFERROR(F77/E77,0)</f>
        <v>0</v>
      </c>
      <c r="I77" s="67">
        <f>IFERROR(VLOOKUP(D77,'UCL WS'!$C$3:$F$35,2,FALSE),0)</f>
        <v>0</v>
      </c>
      <c r="J77" s="44">
        <f>IFERROR(VLOOKUP(D77,'UCL WS'!$C$3:$F$35,3,FALSE),0)</f>
        <v>0</v>
      </c>
      <c r="K77" s="45">
        <f>IFERROR(VLOOKUP(D77,'UCL WS'!$C$3:$F$35,4,FALSE),0)</f>
        <v>0</v>
      </c>
      <c r="L77" s="83">
        <f>IFERROR(J77/I77,0)</f>
        <v>0</v>
      </c>
      <c r="M77" s="63">
        <f>IFERROR(VLOOKUP(D77,'UCL SS 2ed'!$C$3:$F$50,2,FALSE),0)</f>
        <v>0</v>
      </c>
      <c r="N77" s="43">
        <f>IFERROR(VLOOKUP(D77,'UCL SS 2ed'!$C$3:$F$50,3,FALSE),0)</f>
        <v>0</v>
      </c>
      <c r="O77" s="61">
        <f>IFERROR(VLOOKUP(D77,'UCL SS 2ed'!$C$3:$F$50,4,FALSE),0)</f>
        <v>0</v>
      </c>
      <c r="P77" s="87">
        <f>IFERROR(N77/M77,0)</f>
        <v>0</v>
      </c>
      <c r="Q77" s="89">
        <f>+_xlfn.XLOOKUP(D77,'UCL WS 2ed'!$C$3:$C$37,'UCL WS 2ed'!$D$3:$D$37,0,0)</f>
        <v>1</v>
      </c>
      <c r="R77" s="45">
        <f>+_xlfn.XLOOKUP(D77,'UCL WS 2ed'!$C$3:$C$37,'UCL WS 2ed'!$E$3:$E$37,0,0)</f>
        <v>0</v>
      </c>
      <c r="S77" s="45">
        <f>+_xlfn.XLOOKUP(D77,'UCL WS 2ed'!$C$3:$C$37,'UCL WS 2ed'!$F$3:$F$37,0)</f>
        <v>1</v>
      </c>
      <c r="T77" s="83">
        <f>IFERROR(R77/Q77,0)</f>
        <v>0</v>
      </c>
      <c r="U77" s="63">
        <f>IFERROR(VLOOKUP(D77,'UCL SS 3ed'!$C$3:$F$24,2,FALSE),0)</f>
        <v>0</v>
      </c>
      <c r="V77" s="43">
        <f>IFERROR(VLOOKUP(D77,'UCL SS 3ed'!$C$3:$F$24,3,FALSE),0)</f>
        <v>0</v>
      </c>
      <c r="W77" s="61">
        <f>IFERROR(VLOOKUP(D77,'UCL SS 3ed'!$C$3:$F$24,4,FALSE),0)</f>
        <v>0</v>
      </c>
      <c r="X77" s="64">
        <f>IFERROR(V77/U77,0)</f>
        <v>0</v>
      </c>
      <c r="Y77" s="123">
        <f>E77+I77+M77+Q77+U77</f>
        <v>1</v>
      </c>
      <c r="Z77" s="46">
        <f>F77+J77+N77+R77+V77</f>
        <v>0</v>
      </c>
      <c r="AA77" s="46">
        <f>G77+K77+O77+S77+W77</f>
        <v>1</v>
      </c>
      <c r="AB77" s="47">
        <f>Z77/Y77</f>
        <v>0</v>
      </c>
    </row>
    <row r="78" spans="2:29" x14ac:dyDescent="0.35">
      <c r="B78" s="106">
        <v>48</v>
      </c>
      <c r="C78" s="11" t="s">
        <v>232</v>
      </c>
      <c r="D78" s="107" t="s">
        <v>232</v>
      </c>
      <c r="E78" s="95">
        <f>IFERROR((VLOOKUP(D78,'UCL SS'!$C$3:$D$31,2,FALSE)),0)</f>
        <v>0</v>
      </c>
      <c r="F78" s="43">
        <f>IFERROR(VLOOKUP(D78,'UCL SS'!$C$3:$E$31,3,FALSE),0)</f>
        <v>0</v>
      </c>
      <c r="G78" s="43">
        <f>IFERROR(VLOOKUP(D78,'UCL SS'!$C$3:$F$31,4,FALSE),0)</f>
        <v>0</v>
      </c>
      <c r="H78" s="64">
        <f>IFERROR(F78/E78,0)</f>
        <v>0</v>
      </c>
      <c r="I78" s="67">
        <f>IFERROR(VLOOKUP(D78,'UCL WS'!$C$3:$F$35,2,FALSE),0)</f>
        <v>0</v>
      </c>
      <c r="J78" s="44">
        <f>IFERROR(VLOOKUP(D78,'UCL WS'!$C$3:$F$35,3,FALSE),0)</f>
        <v>0</v>
      </c>
      <c r="K78" s="45">
        <f>IFERROR(VLOOKUP(D78,'UCL WS'!$C$3:$F$35,4,FALSE),0)</f>
        <v>0</v>
      </c>
      <c r="L78" s="83">
        <f>IFERROR(J78/I78,0)</f>
        <v>0</v>
      </c>
      <c r="M78" s="63">
        <f>IFERROR(VLOOKUP(D78,'UCL SS 2ed'!$C$3:$F$50,2,FALSE),0)</f>
        <v>0</v>
      </c>
      <c r="N78" s="43">
        <f>IFERROR(VLOOKUP(D78,'UCL SS 2ed'!$C$3:$F$50,3,FALSE),0)</f>
        <v>0</v>
      </c>
      <c r="O78" s="61">
        <f>IFERROR(VLOOKUP(D78,'UCL SS 2ed'!$C$3:$F$50,4,FALSE),0)</f>
        <v>0</v>
      </c>
      <c r="P78" s="87">
        <f>IFERROR(N78/M78,0)</f>
        <v>0</v>
      </c>
      <c r="Q78" s="89">
        <f>+_xlfn.XLOOKUP(D78,'UCL WS 2ed'!$C$3:$C$37,'UCL WS 2ed'!$D$3:$D$37,0,0)</f>
        <v>1</v>
      </c>
      <c r="R78" s="45">
        <f>+_xlfn.XLOOKUP(D78,'UCL WS 2ed'!$C$3:$C$37,'UCL WS 2ed'!$E$3:$E$37,0,0)</f>
        <v>1</v>
      </c>
      <c r="S78" s="45">
        <f>+_xlfn.XLOOKUP(D78,'UCL WS 2ed'!$C$3:$C$37,'UCL WS 2ed'!$F$3:$F$37,0)</f>
        <v>0</v>
      </c>
      <c r="T78" s="83">
        <f>IFERROR(R78/Q78,0)</f>
        <v>1</v>
      </c>
      <c r="U78" s="63">
        <f>IFERROR(VLOOKUP(D78,'UCL SS 3ed'!$C$3:$F$24,2,FALSE),0)</f>
        <v>0</v>
      </c>
      <c r="V78" s="43">
        <f>IFERROR(VLOOKUP(D78,'UCL SS 3ed'!$C$3:$F$24,3,FALSE),0)</f>
        <v>0</v>
      </c>
      <c r="W78" s="61">
        <f>IFERROR(VLOOKUP(D78,'UCL SS 3ed'!$C$3:$F$24,4,FALSE),0)</f>
        <v>0</v>
      </c>
      <c r="X78" s="64">
        <f>IFERROR(V78/U78,0)</f>
        <v>0</v>
      </c>
      <c r="Y78" s="123">
        <f>E78+I78+M78+Q78+U78</f>
        <v>1</v>
      </c>
      <c r="Z78" s="46">
        <f>F78+J78+N78+R78+V78</f>
        <v>1</v>
      </c>
      <c r="AA78" s="46">
        <f>G78+K78+O78+S78+W78</f>
        <v>0</v>
      </c>
      <c r="AB78" s="47">
        <f>Z78/Y78</f>
        <v>1</v>
      </c>
    </row>
    <row r="79" spans="2:29" x14ac:dyDescent="0.35">
      <c r="B79" s="106">
        <v>48</v>
      </c>
      <c r="C79" s="11" t="s">
        <v>251</v>
      </c>
      <c r="D79" s="107" t="s">
        <v>252</v>
      </c>
      <c r="E79" s="95">
        <f>IFERROR((VLOOKUP(D79,'UCL SS'!$C$3:$D$31,2,FALSE)),0)</f>
        <v>0</v>
      </c>
      <c r="F79" s="43">
        <f>IFERROR(VLOOKUP(D79,'UCL SS'!$C$3:$E$31,3,FALSE),0)</f>
        <v>0</v>
      </c>
      <c r="G79" s="43">
        <f>IFERROR(VLOOKUP(D79,'UCL SS'!$C$3:$F$31,4,FALSE),0)</f>
        <v>0</v>
      </c>
      <c r="H79" s="64">
        <f>IFERROR(F79/E79,0)</f>
        <v>0</v>
      </c>
      <c r="I79" s="67">
        <f>IFERROR(VLOOKUP(D79,'UCL WS'!$C$3:$F$35,2,FALSE),0)</f>
        <v>0</v>
      </c>
      <c r="J79" s="44">
        <f>IFERROR(VLOOKUP(D79,'UCL WS'!$C$3:$F$35,3,FALSE),0)</f>
        <v>0</v>
      </c>
      <c r="K79" s="45">
        <f>IFERROR(VLOOKUP(D79,'UCL WS'!$C$3:$F$35,4,FALSE),0)</f>
        <v>0</v>
      </c>
      <c r="L79" s="83">
        <f>IFERROR(J79/I79,0)</f>
        <v>0</v>
      </c>
      <c r="M79" s="63">
        <f>IFERROR(VLOOKUP(D79,'UCL SS 2ed'!$C$3:$F$50,2,FALSE),0)</f>
        <v>0</v>
      </c>
      <c r="N79" s="43">
        <f>IFERROR(VLOOKUP(D79,'UCL SS 2ed'!$C$3:$F$50,3,FALSE),0)</f>
        <v>0</v>
      </c>
      <c r="O79" s="61">
        <f>IFERROR(VLOOKUP(D79,'UCL SS 2ed'!$C$3:$F$50,4,FALSE),0)</f>
        <v>0</v>
      </c>
      <c r="P79" s="87">
        <f>IFERROR(N79/M79,0)</f>
        <v>0</v>
      </c>
      <c r="Q79" s="89">
        <f>+_xlfn.XLOOKUP(D79,'UCL WS 2ed'!$C$3:$C$37,'UCL WS 2ed'!$D$3:$D$37,0,0)</f>
        <v>1</v>
      </c>
      <c r="R79" s="45">
        <f>+_xlfn.XLOOKUP(D79,'UCL WS 2ed'!$C$3:$C$37,'UCL WS 2ed'!$E$3:$E$37,0,0)</f>
        <v>1</v>
      </c>
      <c r="S79" s="45">
        <f>+_xlfn.XLOOKUP(D79,'UCL WS 2ed'!$C$3:$C$37,'UCL WS 2ed'!$F$3:$F$37,0)</f>
        <v>0</v>
      </c>
      <c r="T79" s="83">
        <f>IFERROR(R79/Q79,0)</f>
        <v>1</v>
      </c>
      <c r="U79" s="63">
        <f>IFERROR(VLOOKUP(D79,'UCL SS 3ed'!$C$3:$F$24,2,FALSE),0)</f>
        <v>0</v>
      </c>
      <c r="V79" s="43">
        <f>IFERROR(VLOOKUP(D79,'UCL SS 3ed'!$C$3:$F$24,3,FALSE),0)</f>
        <v>0</v>
      </c>
      <c r="W79" s="61">
        <f>IFERROR(VLOOKUP(D79,'UCL SS 3ed'!$C$3:$F$24,4,FALSE),0)</f>
        <v>0</v>
      </c>
      <c r="X79" s="64">
        <f>IFERROR(V79/U79,0)</f>
        <v>0</v>
      </c>
      <c r="Y79" s="123">
        <f>E79+I79+M79+Q79+U79</f>
        <v>1</v>
      </c>
      <c r="Z79" s="46">
        <f>F79+J79+N79+R79+V79</f>
        <v>1</v>
      </c>
      <c r="AA79" s="46">
        <f>G79+K79+O79+S79+W79</f>
        <v>0</v>
      </c>
      <c r="AB79" s="47">
        <f>Z79/Y79</f>
        <v>1</v>
      </c>
    </row>
    <row r="80" spans="2:29" x14ac:dyDescent="0.35">
      <c r="B80" s="106">
        <v>48</v>
      </c>
      <c r="C80" s="11" t="s">
        <v>309</v>
      </c>
      <c r="D80" s="107" t="s">
        <v>310</v>
      </c>
      <c r="E80" s="95">
        <f>IFERROR((VLOOKUP(D80,'UCL SS'!$C$3:$D$31,2,FALSE)),0)</f>
        <v>0</v>
      </c>
      <c r="F80" s="43">
        <f>IFERROR(VLOOKUP(D80,'UCL SS'!$C$3:$E$31,3,FALSE),0)</f>
        <v>0</v>
      </c>
      <c r="G80" s="43">
        <f>IFERROR(VLOOKUP(D80,'UCL SS'!$C$3:$F$31,4,FALSE),0)</f>
        <v>0</v>
      </c>
      <c r="H80" s="64">
        <f>IFERROR(F80/E80,0)</f>
        <v>0</v>
      </c>
      <c r="I80" s="67">
        <f>IFERROR(VLOOKUP(D80,'UCL WS'!$C$3:$F$35,2,FALSE),0)</f>
        <v>0</v>
      </c>
      <c r="J80" s="44">
        <f>IFERROR(VLOOKUP(D80,'UCL WS'!$C$3:$F$35,3,FALSE),0)</f>
        <v>0</v>
      </c>
      <c r="K80" s="45">
        <f>IFERROR(VLOOKUP(D80,'UCL WS'!$C$3:$F$35,4,FALSE),0)</f>
        <v>0</v>
      </c>
      <c r="L80" s="83">
        <f>IFERROR(J80/I80,0)</f>
        <v>0</v>
      </c>
      <c r="M80" s="63">
        <f>IFERROR(VLOOKUP(D80,'UCL SS 2ed'!$C$3:$F$50,2,FALSE),0)</f>
        <v>0</v>
      </c>
      <c r="N80" s="43">
        <f>IFERROR(VLOOKUP(D80,'UCL SS 2ed'!$C$3:$F$50,3,FALSE),0)</f>
        <v>0</v>
      </c>
      <c r="O80" s="61">
        <f>IFERROR(VLOOKUP(D80,'UCL SS 2ed'!$C$3:$F$50,4,FALSE),0)</f>
        <v>0</v>
      </c>
      <c r="P80" s="87">
        <f>IFERROR(N80/M80,0)</f>
        <v>0</v>
      </c>
      <c r="Q80" s="89">
        <f>+_xlfn.XLOOKUP(D80,'UCL WS 2ed'!$C$3:$C$37,'UCL WS 2ed'!$D$3:$D$37,0,0)</f>
        <v>0</v>
      </c>
      <c r="R80" s="45">
        <f>+_xlfn.XLOOKUP(D80,'UCL WS 2ed'!$C$3:$C$37,'UCL WS 2ed'!$E$3:$E$37,0,0)</f>
        <v>0</v>
      </c>
      <c r="S80" s="45">
        <f>+_xlfn.XLOOKUP(D80,'UCL WS 2ed'!$C$3:$C$37,'UCL WS 2ed'!$F$3:$F$37,0)</f>
        <v>0</v>
      </c>
      <c r="T80" s="83">
        <f>IFERROR(R80/Q80,0)</f>
        <v>0</v>
      </c>
      <c r="U80" s="63">
        <f>IFERROR(VLOOKUP(D80,'UCL SS 3ed'!$C$3:$F$24,2,FALSE),0)</f>
        <v>1</v>
      </c>
      <c r="V80" s="43">
        <f>IFERROR(VLOOKUP(D80,'UCL SS 3ed'!$C$3:$F$24,3,FALSE),0)</f>
        <v>0</v>
      </c>
      <c r="W80" s="61">
        <f>IFERROR(VLOOKUP(D80,'UCL SS 3ed'!$C$3:$F$24,4,FALSE),0)</f>
        <v>1</v>
      </c>
      <c r="X80" s="64">
        <f>IFERROR(V80/U80,0)</f>
        <v>0</v>
      </c>
      <c r="Y80" s="123">
        <f>E80+I80+M80+Q80+U80</f>
        <v>1</v>
      </c>
      <c r="Z80" s="46">
        <f>F80+J80+N80+R80+V80</f>
        <v>0</v>
      </c>
      <c r="AA80" s="46">
        <f>G80+K80+O80+S80+W80</f>
        <v>1</v>
      </c>
      <c r="AB80" s="47">
        <f>Z80/Y80</f>
        <v>0</v>
      </c>
    </row>
    <row r="81" spans="2:28" x14ac:dyDescent="0.35">
      <c r="B81" s="125">
        <v>48</v>
      </c>
      <c r="C81" s="126" t="s">
        <v>324</v>
      </c>
      <c r="D81" s="127" t="s">
        <v>325</v>
      </c>
      <c r="E81" s="95">
        <f>IFERROR((VLOOKUP(D81,'UCL SS'!$C$3:$D$31,2,FALSE)),0)</f>
        <v>0</v>
      </c>
      <c r="F81" s="43">
        <f>IFERROR(VLOOKUP(D81,'UCL SS'!$C$3:$E$31,3,FALSE),0)</f>
        <v>0</v>
      </c>
      <c r="G81" s="43">
        <f>IFERROR(VLOOKUP(D81,'UCL SS'!$C$3:$F$31,4,FALSE),0)</f>
        <v>0</v>
      </c>
      <c r="H81" s="64">
        <f>IFERROR(F81/E81,0)</f>
        <v>0</v>
      </c>
      <c r="I81" s="67">
        <f>IFERROR(VLOOKUP(D81,'UCL WS'!$C$3:$F$35,2,FALSE),0)</f>
        <v>0</v>
      </c>
      <c r="J81" s="44">
        <f>IFERROR(VLOOKUP(D81,'UCL WS'!$C$3:$F$35,3,FALSE),0)</f>
        <v>0</v>
      </c>
      <c r="K81" s="45">
        <f>IFERROR(VLOOKUP(D81,'UCL WS'!$C$3:$F$35,4,FALSE),0)</f>
        <v>0</v>
      </c>
      <c r="L81" s="83">
        <f>IFERROR(J81/I81,0)</f>
        <v>0</v>
      </c>
      <c r="M81" s="63">
        <f>IFERROR(VLOOKUP(D81,'UCL SS 2ed'!$C$3:$F$50,2,FALSE),0)</f>
        <v>0</v>
      </c>
      <c r="N81" s="43">
        <f>IFERROR(VLOOKUP(D81,'UCL SS 2ed'!$C$3:$F$50,3,FALSE),0)</f>
        <v>0</v>
      </c>
      <c r="O81" s="61">
        <f>IFERROR(VLOOKUP(D81,'UCL SS 2ed'!$C$3:$F$50,4,FALSE),0)</f>
        <v>0</v>
      </c>
      <c r="P81" s="87">
        <f>IFERROR(N81/M81,0)</f>
        <v>0</v>
      </c>
      <c r="Q81" s="89">
        <f>+_xlfn.XLOOKUP(D81,'UCL WS 2ed'!$C$3:$C$37,'UCL WS 2ed'!$D$3:$D$37,0,0)</f>
        <v>0</v>
      </c>
      <c r="R81" s="45">
        <f>+_xlfn.XLOOKUP(D81,'UCL WS 2ed'!$C$3:$C$37,'UCL WS 2ed'!$E$3:$E$37,0,0)</f>
        <v>0</v>
      </c>
      <c r="S81" s="45">
        <f>+_xlfn.XLOOKUP(D81,'UCL WS 2ed'!$C$3:$C$37,'UCL WS 2ed'!$F$3:$F$37,0)</f>
        <v>0</v>
      </c>
      <c r="T81" s="83">
        <f>IFERROR(R81/Q81,0)</f>
        <v>0</v>
      </c>
      <c r="U81" s="63">
        <f>IFERROR(VLOOKUP(D81,'UCL SS 3ed'!$C$3:$F$24,2,FALSE),0)</f>
        <v>1</v>
      </c>
      <c r="V81" s="43">
        <f>IFERROR(VLOOKUP(D81,'UCL SS 3ed'!$C$3:$F$24,3,FALSE),0)</f>
        <v>1</v>
      </c>
      <c r="W81" s="61">
        <f>IFERROR(VLOOKUP(D81,'UCL SS 3ed'!$C$3:$F$24,4,FALSE),0)</f>
        <v>0</v>
      </c>
      <c r="X81" s="64">
        <f>IFERROR(V81/U81,0)</f>
        <v>1</v>
      </c>
      <c r="Y81" s="143">
        <f>E81+I81+M81+Q81+U81</f>
        <v>1</v>
      </c>
      <c r="Z81" s="144">
        <f>F81+J81+N81+R81+V81</f>
        <v>1</v>
      </c>
      <c r="AA81" s="144">
        <f>G81+K81+O81+S81+W81</f>
        <v>0</v>
      </c>
      <c r="AB81" s="146">
        <f>Z81/Y81</f>
        <v>1</v>
      </c>
    </row>
    <row r="82" spans="2:28" x14ac:dyDescent="0.35">
      <c r="B82" s="125">
        <v>48</v>
      </c>
      <c r="C82" s="126" t="s">
        <v>318</v>
      </c>
      <c r="D82" s="127" t="s">
        <v>319</v>
      </c>
      <c r="E82" s="95">
        <f>IFERROR((VLOOKUP(D82,'UCL SS'!$C$3:$D$31,2,FALSE)),0)</f>
        <v>0</v>
      </c>
      <c r="F82" s="43">
        <f>IFERROR(VLOOKUP(D82,'UCL SS'!$C$3:$E$31,3,FALSE),0)</f>
        <v>0</v>
      </c>
      <c r="G82" s="43">
        <f>IFERROR(VLOOKUP(D82,'UCL SS'!$C$3:$F$31,4,FALSE),0)</f>
        <v>0</v>
      </c>
      <c r="H82" s="64">
        <f>IFERROR(F82/E82,0)</f>
        <v>0</v>
      </c>
      <c r="I82" s="67">
        <f>IFERROR(VLOOKUP(D82,'UCL WS'!$C$3:$F$35,2,FALSE),0)</f>
        <v>0</v>
      </c>
      <c r="J82" s="44">
        <f>IFERROR(VLOOKUP(D82,'UCL WS'!$C$3:$F$35,3,FALSE),0)</f>
        <v>0</v>
      </c>
      <c r="K82" s="45">
        <f>IFERROR(VLOOKUP(D82,'UCL WS'!$C$3:$F$35,4,FALSE),0)</f>
        <v>0</v>
      </c>
      <c r="L82" s="83">
        <f>IFERROR(J82/I82,0)</f>
        <v>0</v>
      </c>
      <c r="M82" s="63">
        <f>IFERROR(VLOOKUP(D82,'UCL SS 2ed'!$C$3:$F$50,2,FALSE),0)</f>
        <v>0</v>
      </c>
      <c r="N82" s="43">
        <f>IFERROR(VLOOKUP(D82,'UCL SS 2ed'!$C$3:$F$50,3,FALSE),0)</f>
        <v>0</v>
      </c>
      <c r="O82" s="61">
        <f>IFERROR(VLOOKUP(D82,'UCL SS 2ed'!$C$3:$F$50,4,FALSE),0)</f>
        <v>0</v>
      </c>
      <c r="P82" s="87">
        <f>IFERROR(N82/M82,0)</f>
        <v>0</v>
      </c>
      <c r="Q82" s="89">
        <f>+_xlfn.XLOOKUP(D82,'UCL WS 2ed'!$C$3:$C$37,'UCL WS 2ed'!$D$3:$D$37,0,0)</f>
        <v>0</v>
      </c>
      <c r="R82" s="45">
        <f>+_xlfn.XLOOKUP(D82,'UCL WS 2ed'!$C$3:$C$37,'UCL WS 2ed'!$E$3:$E$37,0,0)</f>
        <v>0</v>
      </c>
      <c r="S82" s="45">
        <f>+_xlfn.XLOOKUP(D82,'UCL WS 2ed'!$C$3:$C$37,'UCL WS 2ed'!$F$3:$F$37,0)</f>
        <v>0</v>
      </c>
      <c r="T82" s="83">
        <f>IFERROR(R82/Q82,0)</f>
        <v>0</v>
      </c>
      <c r="U82" s="63">
        <f>IFERROR(VLOOKUP(D82,'UCL SS 3ed'!$C$3:$F$24,2,FALSE),0)</f>
        <v>1</v>
      </c>
      <c r="V82" s="43">
        <f>IFERROR(VLOOKUP(D82,'UCL SS 3ed'!$C$3:$F$24,3,FALSE),0)</f>
        <v>0</v>
      </c>
      <c r="W82" s="61">
        <f>IFERROR(VLOOKUP(D82,'UCL SS 3ed'!$C$3:$F$24,4,FALSE),0)</f>
        <v>1</v>
      </c>
      <c r="X82" s="64">
        <f>IFERROR(V82/U82,0)</f>
        <v>0</v>
      </c>
      <c r="Y82" s="123">
        <f>E82+I82+M82+Q82+U82</f>
        <v>1</v>
      </c>
      <c r="Z82" s="46">
        <f>F82+J82+N82+R82+V82</f>
        <v>0</v>
      </c>
      <c r="AA82" s="46">
        <f>G82+K82+O82+S82+W82</f>
        <v>1</v>
      </c>
      <c r="AB82" s="47">
        <f>Z82/Y82</f>
        <v>0</v>
      </c>
    </row>
    <row r="83" spans="2:28" ht="15" thickBot="1" x14ac:dyDescent="0.4">
      <c r="B83" s="110">
        <v>48</v>
      </c>
      <c r="C83" s="108" t="s">
        <v>253</v>
      </c>
      <c r="D83" s="109" t="s">
        <v>254</v>
      </c>
      <c r="E83" s="97">
        <f>IFERROR((VLOOKUP(D83,'UCL SS'!$C$3:$D$31,2,FALSE)),0)</f>
        <v>0</v>
      </c>
      <c r="F83" s="48">
        <f>IFERROR(VLOOKUP(D83,'UCL SS'!$C$3:$E$31,3,FALSE),0)</f>
        <v>0</v>
      </c>
      <c r="G83" s="48">
        <f>IFERROR(VLOOKUP(D83,'UCL SS'!$C$3:$F$31,4,FALSE),0)</f>
        <v>0</v>
      </c>
      <c r="H83" s="66">
        <f>IFERROR(F83/E83,0)</f>
        <v>0</v>
      </c>
      <c r="I83" s="68">
        <f>IFERROR(VLOOKUP(D83,'UCL WS'!$C$3:$F$35,2,FALSE),0)</f>
        <v>0</v>
      </c>
      <c r="J83" s="49">
        <f>IFERROR(VLOOKUP(D83,'UCL WS'!$C$3:$F$35,3,FALSE),0)</f>
        <v>0</v>
      </c>
      <c r="K83" s="50">
        <f>IFERROR(VLOOKUP(D83,'UCL WS'!$C$3:$F$35,4,FALSE),0)</f>
        <v>0</v>
      </c>
      <c r="L83" s="84">
        <f>IFERROR(J83/I83,0)</f>
        <v>0</v>
      </c>
      <c r="M83" s="65">
        <f>IFERROR(VLOOKUP(D83,'UCL SS 2ed'!$C$3:$F$50,2,FALSE),0)</f>
        <v>0</v>
      </c>
      <c r="N83" s="48">
        <f>IFERROR(VLOOKUP(D83,'UCL SS 2ed'!$C$3:$F$50,3,FALSE),0)</f>
        <v>0</v>
      </c>
      <c r="O83" s="62">
        <f>IFERROR(VLOOKUP(D83,'UCL SS 2ed'!$C$3:$F$50,4,FALSE),0)</f>
        <v>0</v>
      </c>
      <c r="P83" s="88">
        <f>IFERROR(N83/M83,0)</f>
        <v>0</v>
      </c>
      <c r="Q83" s="90">
        <f>+_xlfn.XLOOKUP(D83,'UCL WS 2ed'!$C$3:$C$37,'UCL WS 2ed'!$D$3:$D$37,0,0)</f>
        <v>1</v>
      </c>
      <c r="R83" s="50">
        <f>+_xlfn.XLOOKUP(D83,'UCL WS 2ed'!$C$3:$C$37,'UCL WS 2ed'!$E$3:$E$37,0,0)</f>
        <v>1</v>
      </c>
      <c r="S83" s="50">
        <f>+_xlfn.XLOOKUP(D83,'UCL WS 2ed'!$C$3:$C$37,'UCL WS 2ed'!$F$3:$F$37,0)</f>
        <v>0</v>
      </c>
      <c r="T83" s="84">
        <f>IFERROR(R83/Q83,0)</f>
        <v>1</v>
      </c>
      <c r="U83" s="65">
        <f>IFERROR(VLOOKUP(D83,'UCL SS 3ed'!$C$3:$F$24,2,FALSE),0)</f>
        <v>0</v>
      </c>
      <c r="V83" s="48">
        <f>IFERROR(VLOOKUP(D83,'UCL SS 3ed'!$C$3:$F$24,3,FALSE),0)</f>
        <v>0</v>
      </c>
      <c r="W83" s="62">
        <f>IFERROR(VLOOKUP(D83,'UCL SS 3ed'!$C$3:$F$24,4,FALSE),0)</f>
        <v>0</v>
      </c>
      <c r="X83" s="66">
        <f>IFERROR(V83/U83,0)</f>
        <v>0</v>
      </c>
      <c r="Y83" s="124">
        <f>E83+I83+M83+Q83+U83</f>
        <v>1</v>
      </c>
      <c r="Z83" s="51">
        <f>F83+J83+N83+R83+V83</f>
        <v>1</v>
      </c>
      <c r="AA83" s="51">
        <f>G83+K83+O83+S83+W83</f>
        <v>0</v>
      </c>
      <c r="AB83" s="52">
        <f>Z83/Y83</f>
        <v>1</v>
      </c>
    </row>
    <row r="85" spans="2:28" x14ac:dyDescent="0.35">
      <c r="Y85" s="102">
        <f>+SUM(Y5:Y83)-'UCL WS 2ed'!D38-'UCL SS 2ed'!D51-'UCL WS'!D36-'UCL SS'!D32-'UCL SS 3ed'!D25</f>
        <v>0</v>
      </c>
      <c r="Z85" s="103" t="s">
        <v>269</v>
      </c>
    </row>
  </sheetData>
  <autoFilter ref="B4:AC4" xr:uid="{D40F1D04-4064-479D-9819-848B2B0E585A}">
    <sortState xmlns:xlrd2="http://schemas.microsoft.com/office/spreadsheetml/2017/richdata2" ref="B5:AC83">
      <sortCondition descending="1" ref="Y4"/>
    </sortState>
  </autoFilter>
  <sortState xmlns:xlrd2="http://schemas.microsoft.com/office/spreadsheetml/2017/richdata2" ref="B5:P53">
    <sortCondition descending="1" ref="M5:M5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58AF6-A7E3-4FB3-B49C-C8BCD261EB43}">
  <dimension ref="A1:Q30"/>
  <sheetViews>
    <sheetView zoomScale="90" zoomScaleNormal="90" workbookViewId="0">
      <selection activeCell="G15" sqref="G15"/>
    </sheetView>
  </sheetViews>
  <sheetFormatPr defaultRowHeight="14.5" x14ac:dyDescent="0.35"/>
  <cols>
    <col min="1" max="17" width="10.6328125" customWidth="1"/>
  </cols>
  <sheetData>
    <row r="1" spans="1:17" ht="23.5" x14ac:dyDescent="0.55000000000000004">
      <c r="A1" s="198" t="s">
        <v>282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</row>
    <row r="3" spans="1:17" x14ac:dyDescent="0.35">
      <c r="A3" t="s">
        <v>304</v>
      </c>
      <c r="D3" t="s">
        <v>283</v>
      </c>
      <c r="G3" t="s">
        <v>284</v>
      </c>
      <c r="J3" t="s">
        <v>285</v>
      </c>
      <c r="M3" t="s">
        <v>286</v>
      </c>
      <c r="P3" t="s">
        <v>287</v>
      </c>
    </row>
    <row r="4" spans="1:17" x14ac:dyDescent="0.35">
      <c r="A4" s="114">
        <v>46084</v>
      </c>
      <c r="D4" s="114">
        <f>+A4+7</f>
        <v>46091</v>
      </c>
      <c r="G4" s="114">
        <f>+D4+7</f>
        <v>46098</v>
      </c>
      <c r="J4" s="114">
        <f>+G4+7</f>
        <v>46105</v>
      </c>
      <c r="M4" s="114">
        <f>+J4+7</f>
        <v>46112</v>
      </c>
      <c r="P4" s="114">
        <f>+M4+7</f>
        <v>46119</v>
      </c>
    </row>
    <row r="5" spans="1:17" x14ac:dyDescent="0.35">
      <c r="A5" s="117" t="s">
        <v>5</v>
      </c>
      <c r="B5" s="115" t="s">
        <v>7</v>
      </c>
      <c r="D5" s="115" t="s">
        <v>8</v>
      </c>
      <c r="E5" s="118" t="s">
        <v>5</v>
      </c>
      <c r="G5" s="115" t="s">
        <v>7</v>
      </c>
      <c r="H5" s="118" t="s">
        <v>122</v>
      </c>
      <c r="J5" s="140" t="s">
        <v>122</v>
      </c>
      <c r="K5" s="118" t="s">
        <v>8</v>
      </c>
      <c r="M5" s="115" t="s">
        <v>10</v>
      </c>
      <c r="N5" s="118" t="s">
        <v>5</v>
      </c>
      <c r="P5" s="115" t="s">
        <v>6</v>
      </c>
      <c r="Q5" s="118" t="s">
        <v>7</v>
      </c>
    </row>
    <row r="6" spans="1:17" x14ac:dyDescent="0.35">
      <c r="D6" t="s">
        <v>321</v>
      </c>
      <c r="G6" t="s">
        <v>321</v>
      </c>
      <c r="J6" t="s">
        <v>320</v>
      </c>
      <c r="M6" t="s">
        <v>320</v>
      </c>
      <c r="P6" t="s">
        <v>320</v>
      </c>
    </row>
    <row r="8" spans="1:17" x14ac:dyDescent="0.35">
      <c r="A8" t="s">
        <v>288</v>
      </c>
      <c r="D8" t="s">
        <v>289</v>
      </c>
      <c r="G8" t="s">
        <v>290</v>
      </c>
      <c r="J8" t="s">
        <v>291</v>
      </c>
      <c r="M8" t="s">
        <v>292</v>
      </c>
    </row>
    <row r="9" spans="1:17" x14ac:dyDescent="0.35">
      <c r="A9" s="114">
        <f>+P4+7</f>
        <v>46126</v>
      </c>
      <c r="D9" s="114">
        <f>+A9+7</f>
        <v>46133</v>
      </c>
      <c r="G9" s="114">
        <f>+D9+7</f>
        <v>46140</v>
      </c>
      <c r="J9" s="114">
        <f>+G9+7</f>
        <v>46147</v>
      </c>
      <c r="M9" s="114">
        <f>+J9+7</f>
        <v>46154</v>
      </c>
    </row>
    <row r="10" spans="1:17" x14ac:dyDescent="0.35">
      <c r="A10" s="115" t="s">
        <v>122</v>
      </c>
      <c r="B10" s="118" t="s">
        <v>10</v>
      </c>
      <c r="D10" s="142" t="s">
        <v>5</v>
      </c>
      <c r="E10" s="115" t="s">
        <v>6</v>
      </c>
      <c r="G10" s="140" t="s">
        <v>7</v>
      </c>
      <c r="H10" s="118" t="s">
        <v>10</v>
      </c>
      <c r="J10" s="115" t="s">
        <v>6</v>
      </c>
      <c r="K10" s="118" t="s">
        <v>8</v>
      </c>
      <c r="M10" s="115" t="s">
        <v>6</v>
      </c>
      <c r="N10" s="118" t="s">
        <v>122</v>
      </c>
    </row>
    <row r="11" spans="1:17" x14ac:dyDescent="0.35">
      <c r="A11" t="s">
        <v>320</v>
      </c>
      <c r="D11" s="114" t="s">
        <v>320</v>
      </c>
      <c r="G11" t="s">
        <v>321</v>
      </c>
      <c r="J11" s="114" t="s">
        <v>321</v>
      </c>
      <c r="M11" s="114" t="s">
        <v>320</v>
      </c>
    </row>
    <row r="13" spans="1:17" x14ac:dyDescent="0.35">
      <c r="A13" t="s">
        <v>293</v>
      </c>
      <c r="D13" t="s">
        <v>294</v>
      </c>
      <c r="G13" t="s">
        <v>295</v>
      </c>
      <c r="J13" t="s">
        <v>296</v>
      </c>
      <c r="M13" t="s">
        <v>297</v>
      </c>
    </row>
    <row r="14" spans="1:17" x14ac:dyDescent="0.35">
      <c r="A14" s="114">
        <f>+M9+7</f>
        <v>46161</v>
      </c>
      <c r="D14" s="114">
        <f>+A14+7</f>
        <v>46168</v>
      </c>
      <c r="G14" s="114">
        <f>+D14+7</f>
        <v>46175</v>
      </c>
      <c r="J14" s="114">
        <f>+G14+7</f>
        <v>46182</v>
      </c>
      <c r="M14" s="114">
        <f>+J14+7</f>
        <v>46189</v>
      </c>
    </row>
    <row r="15" spans="1:17" x14ac:dyDescent="0.35">
      <c r="A15" s="140" t="s">
        <v>8</v>
      </c>
      <c r="B15" s="118" t="s">
        <v>7</v>
      </c>
      <c r="D15" s="142" t="s">
        <v>10</v>
      </c>
      <c r="E15" s="115" t="s">
        <v>6</v>
      </c>
      <c r="G15" t="s">
        <v>122</v>
      </c>
      <c r="H15" t="s">
        <v>5</v>
      </c>
      <c r="J15" t="s">
        <v>10</v>
      </c>
      <c r="K15" t="s">
        <v>8</v>
      </c>
      <c r="M15" s="114" t="s">
        <v>5</v>
      </c>
      <c r="N15" t="s">
        <v>7</v>
      </c>
    </row>
    <row r="16" spans="1:17" x14ac:dyDescent="0.35">
      <c r="A16" t="s">
        <v>321</v>
      </c>
      <c r="J16" s="114"/>
    </row>
    <row r="18" spans="1:17" x14ac:dyDescent="0.35">
      <c r="A18" t="s">
        <v>298</v>
      </c>
      <c r="D18" t="s">
        <v>299</v>
      </c>
      <c r="G18" t="s">
        <v>300</v>
      </c>
      <c r="J18" t="s">
        <v>301</v>
      </c>
      <c r="M18" t="s">
        <v>302</v>
      </c>
      <c r="P18" t="s">
        <v>303</v>
      </c>
    </row>
    <row r="19" spans="1:17" x14ac:dyDescent="0.35">
      <c r="A19" s="116">
        <f>+M14+7</f>
        <v>46196</v>
      </c>
      <c r="D19" s="114">
        <f>+A19+7</f>
        <v>46203</v>
      </c>
      <c r="G19" s="114">
        <f>+D19+7</f>
        <v>46210</v>
      </c>
      <c r="J19" s="114">
        <f>+G19+7</f>
        <v>46217</v>
      </c>
      <c r="M19" s="114">
        <f>+J19+7</f>
        <v>46224</v>
      </c>
      <c r="P19" s="114">
        <f>+M19+7</f>
        <v>46231</v>
      </c>
    </row>
    <row r="20" spans="1:17" x14ac:dyDescent="0.35">
      <c r="A20" s="119" t="s">
        <v>306</v>
      </c>
      <c r="B20" s="119" t="s">
        <v>306</v>
      </c>
      <c r="D20" s="119" t="s">
        <v>306</v>
      </c>
      <c r="E20" s="119" t="s">
        <v>306</v>
      </c>
      <c r="G20" s="119" t="s">
        <v>306</v>
      </c>
      <c r="H20" s="119" t="s">
        <v>306</v>
      </c>
      <c r="J20" s="119" t="s">
        <v>306</v>
      </c>
      <c r="K20" s="119" t="s">
        <v>306</v>
      </c>
      <c r="M20" s="119" t="s">
        <v>306</v>
      </c>
      <c r="N20" s="119" t="s">
        <v>306</v>
      </c>
    </row>
    <row r="23" spans="1:17" x14ac:dyDescent="0.35">
      <c r="M23" t="s">
        <v>312</v>
      </c>
    </row>
    <row r="24" spans="1:17" x14ac:dyDescent="0.35">
      <c r="L24" t="s">
        <v>317</v>
      </c>
      <c r="M24" t="s">
        <v>313</v>
      </c>
      <c r="N24" t="s">
        <v>314</v>
      </c>
      <c r="O24" t="s">
        <v>315</v>
      </c>
      <c r="P24" t="s">
        <v>243</v>
      </c>
      <c r="Q24" t="s">
        <v>316</v>
      </c>
    </row>
    <row r="25" spans="1:17" x14ac:dyDescent="0.35">
      <c r="L25" s="115">
        <v>1</v>
      </c>
      <c r="M25" s="115" t="s">
        <v>6</v>
      </c>
      <c r="N25" s="115">
        <v>5</v>
      </c>
      <c r="O25" s="115">
        <v>5</v>
      </c>
      <c r="P25" s="128">
        <f t="shared" ref="P25:P30" si="0">+N25/O25</f>
        <v>1</v>
      </c>
      <c r="Q25" s="115">
        <f>+_xlfn.XLOOKUP(M25,'UCL SS 3ed'!C:C,'UCL SS 3ed'!A:A)</f>
        <v>1</v>
      </c>
    </row>
    <row r="26" spans="1:17" ht="15" thickBot="1" x14ac:dyDescent="0.4">
      <c r="L26" s="138">
        <v>2</v>
      </c>
      <c r="M26" s="138" t="s">
        <v>8</v>
      </c>
      <c r="N26" s="138">
        <v>2</v>
      </c>
      <c r="O26" s="138">
        <v>4</v>
      </c>
      <c r="P26" s="139">
        <f t="shared" si="0"/>
        <v>0.5</v>
      </c>
      <c r="Q26" s="138">
        <f>+_xlfn.XLOOKUP(M26,'UCL SS 3ed'!C:C,'UCL SS 3ed'!A:A)</f>
        <v>3</v>
      </c>
    </row>
    <row r="27" spans="1:17" x14ac:dyDescent="0.35">
      <c r="L27">
        <v>3</v>
      </c>
      <c r="M27" t="s">
        <v>7</v>
      </c>
      <c r="N27">
        <v>2</v>
      </c>
      <c r="O27">
        <v>4</v>
      </c>
      <c r="P27" s="141">
        <f t="shared" si="0"/>
        <v>0.5</v>
      </c>
      <c r="Q27">
        <f>+_xlfn.XLOOKUP(M27,'UCL SS 3ed'!C:C,'UCL SS 3ed'!A:A)</f>
        <v>9</v>
      </c>
    </row>
    <row r="28" spans="1:17" x14ac:dyDescent="0.35">
      <c r="L28">
        <v>4</v>
      </c>
      <c r="M28" t="s">
        <v>122</v>
      </c>
      <c r="N28">
        <v>2</v>
      </c>
      <c r="O28">
        <v>4</v>
      </c>
      <c r="P28" s="141">
        <f t="shared" si="0"/>
        <v>0.5</v>
      </c>
      <c r="Q28">
        <f>+_xlfn.XLOOKUP(M28,'UCL SS 3ed'!C:C,'UCL SS 3ed'!A:A)</f>
        <v>10</v>
      </c>
    </row>
    <row r="29" spans="1:17" x14ac:dyDescent="0.35">
      <c r="L29">
        <v>5</v>
      </c>
      <c r="M29" t="s">
        <v>10</v>
      </c>
      <c r="N29">
        <v>1</v>
      </c>
      <c r="O29">
        <v>4</v>
      </c>
      <c r="P29" s="141">
        <f t="shared" si="0"/>
        <v>0.25</v>
      </c>
      <c r="Q29">
        <f>+_xlfn.XLOOKUP(M29,'UCL SS 3ed'!C:C,'UCL SS 3ed'!A:A)</f>
        <v>12</v>
      </c>
    </row>
    <row r="30" spans="1:17" x14ac:dyDescent="0.35">
      <c r="L30">
        <v>6</v>
      </c>
      <c r="M30" t="s">
        <v>5</v>
      </c>
      <c r="N30">
        <v>0</v>
      </c>
      <c r="O30">
        <v>3</v>
      </c>
      <c r="P30" s="141">
        <f t="shared" si="0"/>
        <v>0</v>
      </c>
      <c r="Q30">
        <f>+_xlfn.XLOOKUP(M30,'UCL SS 3ed'!C:C,'UCL SS 3ed'!A:A)</f>
        <v>7</v>
      </c>
    </row>
  </sheetData>
  <autoFilter ref="L24:Q24" xr:uid="{DA258AF6-A7E3-4FB3-B49C-C8BCD261EB43}">
    <sortState xmlns:xlrd2="http://schemas.microsoft.com/office/spreadsheetml/2017/richdata2" ref="L25:Q30">
      <sortCondition ref="L24"/>
    </sortState>
  </autoFilter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UCL SS</vt:lpstr>
      <vt:lpstr>UCL WS</vt:lpstr>
      <vt:lpstr>UCL SS 2ed</vt:lpstr>
      <vt:lpstr>UCL WS 2ed</vt:lpstr>
      <vt:lpstr>UCL SS 3ed</vt:lpstr>
      <vt:lpstr>All-Time</vt:lpstr>
      <vt:lpstr>Calendário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Diogo Marranas Capela</dc:creator>
  <cp:lastModifiedBy>João Capela</cp:lastModifiedBy>
  <cp:lastPrinted>2024-12-18T01:30:56Z</cp:lastPrinted>
  <dcterms:created xsi:type="dcterms:W3CDTF">2024-02-13T15:46:48Z</dcterms:created>
  <dcterms:modified xsi:type="dcterms:W3CDTF">2026-05-27T11:07:36Z</dcterms:modified>
</cp:coreProperties>
</file>